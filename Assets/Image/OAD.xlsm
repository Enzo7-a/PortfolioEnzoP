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nzop\Desktop\"/>
    </mc:Choice>
  </mc:AlternateContent>
  <xr:revisionPtr revIDLastSave="0" documentId="13_ncr:1_{24410A81-1115-4AD1-ADBE-7B8B9A068038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formation - Actuel" sheetId="1" r:id="rId1"/>
    <sheet name="Calcul Prochain Mois" sheetId="5" r:id="rId2"/>
    <sheet name="Calcul Visualisation" sheetId="27" state="veryHidden" r:id="rId3"/>
  </sheets>
  <definedNames>
    <definedName name="_xleta.INT" hidden="1" xlm="1">#NAME?</definedName>
    <definedName name="_xleta.PV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7" i="27" l="1"/>
  <c r="E55" i="27"/>
  <c r="E54" i="27"/>
  <c r="E53" i="27"/>
  <c r="E52" i="27"/>
  <c r="E51" i="27"/>
  <c r="E50" i="27"/>
  <c r="E49" i="27"/>
  <c r="E48" i="27"/>
  <c r="E47" i="27"/>
  <c r="E46" i="27"/>
  <c r="E45" i="27"/>
  <c r="E44" i="27"/>
  <c r="E43" i="27"/>
  <c r="E42" i="27"/>
  <c r="H38" i="27"/>
  <c r="H37" i="27"/>
  <c r="H36" i="27"/>
  <c r="H35" i="27"/>
  <c r="H34" i="27"/>
  <c r="F16" i="27"/>
  <c r="F17" i="27" s="1"/>
  <c r="E16" i="27"/>
  <c r="E17" i="27" s="1"/>
  <c r="D16" i="27"/>
  <c r="D17" i="27" s="1"/>
  <c r="G15" i="27"/>
  <c r="H15" i="27" s="1"/>
  <c r="F9" i="27"/>
  <c r="E9" i="27"/>
  <c r="D9" i="27"/>
  <c r="C9" i="27"/>
  <c r="I5" i="27"/>
  <c r="E5" i="27"/>
  <c r="F10" i="27" s="1"/>
  <c r="I68" i="1"/>
  <c r="F16" i="1"/>
  <c r="F17" i="1" s="1"/>
  <c r="E16" i="1"/>
  <c r="E17" i="1" s="1"/>
  <c r="D16" i="1"/>
  <c r="D17" i="1" s="1"/>
  <c r="G15" i="1"/>
  <c r="H15" i="1" s="1"/>
  <c r="E55" i="1"/>
  <c r="E54" i="1"/>
  <c r="E53" i="1"/>
  <c r="E52" i="1"/>
  <c r="E51" i="1"/>
  <c r="E50" i="1"/>
  <c r="E49" i="1"/>
  <c r="E48" i="1"/>
  <c r="E47" i="1"/>
  <c r="E46" i="1"/>
  <c r="E45" i="1"/>
  <c r="E44" i="1"/>
  <c r="E42" i="1"/>
  <c r="E43" i="1"/>
  <c r="C25" i="1"/>
  <c r="D25" i="1"/>
  <c r="E25" i="1"/>
  <c r="F25" i="1"/>
  <c r="C9" i="1"/>
  <c r="E9" i="1"/>
  <c r="F9" i="1"/>
  <c r="G77" i="1"/>
  <c r="H34" i="1"/>
  <c r="H35" i="1"/>
  <c r="H36" i="1"/>
  <c r="H37" i="1"/>
  <c r="H38" i="1"/>
  <c r="I47" i="27" l="1"/>
  <c r="K47" i="27" s="1"/>
  <c r="I45" i="27"/>
  <c r="E62" i="27" s="1"/>
  <c r="I43" i="27"/>
  <c r="E59" i="27" s="1"/>
  <c r="E25" i="27"/>
  <c r="F25" i="27"/>
  <c r="I68" i="27"/>
  <c r="H39" i="27"/>
  <c r="I46" i="27"/>
  <c r="K46" i="27" s="1"/>
  <c r="I44" i="27"/>
  <c r="D25" i="27"/>
  <c r="F11" i="27"/>
  <c r="H5" i="27"/>
  <c r="G25" i="1"/>
  <c r="I44" i="1"/>
  <c r="K44" i="1" s="1"/>
  <c r="I43" i="1"/>
  <c r="C16" i="1" s="1"/>
  <c r="C17" i="1" s="1"/>
  <c r="I47" i="1"/>
  <c r="K47" i="1" s="1"/>
  <c r="I45" i="1"/>
  <c r="E63" i="1" s="1"/>
  <c r="I46" i="1"/>
  <c r="K46" i="1" s="1"/>
  <c r="H39" i="1"/>
  <c r="K45" i="27" l="1"/>
  <c r="E63" i="27"/>
  <c r="C16" i="27"/>
  <c r="K43" i="27"/>
  <c r="K48" i="27" s="1"/>
  <c r="J68" i="27" s="1"/>
  <c r="E58" i="27"/>
  <c r="F58" i="27" s="1"/>
  <c r="K44" i="27"/>
  <c r="E61" i="27"/>
  <c r="E60" i="27"/>
  <c r="F62" i="27"/>
  <c r="C25" i="27"/>
  <c r="G25" i="27" s="1"/>
  <c r="C17" i="27"/>
  <c r="K43" i="1"/>
  <c r="E58" i="1"/>
  <c r="E61" i="1"/>
  <c r="E60" i="1"/>
  <c r="E59" i="1"/>
  <c r="E62" i="1"/>
  <c r="F62" i="1" s="1"/>
  <c r="K45" i="1"/>
  <c r="K48" i="1" s="1"/>
  <c r="F60" i="27" l="1"/>
  <c r="G5" i="27"/>
  <c r="C10" i="27" s="1"/>
  <c r="I25" i="27"/>
  <c r="H25" i="27"/>
  <c r="F60" i="1"/>
  <c r="F58" i="1"/>
  <c r="C5" i="27" l="1"/>
  <c r="C11" i="27"/>
  <c r="D10" i="27" l="1"/>
  <c r="D5" i="27" l="1"/>
  <c r="E10" i="27" s="1"/>
  <c r="D11" i="27"/>
  <c r="F5" i="27" l="1"/>
  <c r="E11" i="27"/>
  <c r="D9" i="1"/>
  <c r="D11" i="1" s="1"/>
  <c r="F11" i="1"/>
  <c r="D10" i="1"/>
  <c r="F10" i="1"/>
  <c r="J68" i="1"/>
  <c r="I25" i="1"/>
  <c r="C10" i="1"/>
  <c r="C11" i="1" s="1"/>
  <c r="E10" i="1"/>
  <c r="E11" i="1" s="1"/>
  <c r="H25" i="1"/>
</calcChain>
</file>

<file path=xl/sharedStrings.xml><?xml version="1.0" encoding="utf-8"?>
<sst xmlns="http://schemas.openxmlformats.org/spreadsheetml/2006/main" count="316" uniqueCount="105">
  <si>
    <t>Produit</t>
  </si>
  <si>
    <t>Matière secondaire</t>
  </si>
  <si>
    <t>Besoins</t>
  </si>
  <si>
    <t>Agent Maîtrise</t>
  </si>
  <si>
    <t>Cadre Moyen</t>
  </si>
  <si>
    <t>Commercial</t>
  </si>
  <si>
    <t>Employé</t>
  </si>
  <si>
    <t>Ouvrier</t>
  </si>
  <si>
    <t>Assistant Commercial</t>
  </si>
  <si>
    <t>Dirigeant</t>
  </si>
  <si>
    <t>découpe</t>
  </si>
  <si>
    <t>broyage/mixage</t>
  </si>
  <si>
    <t>cuisson</t>
  </si>
  <si>
    <t>emballage</t>
  </si>
  <si>
    <t>Total</t>
  </si>
  <si>
    <t>Place restante</t>
  </si>
  <si>
    <t>Cuisses de poulet</t>
  </si>
  <si>
    <t>cuisse</t>
  </si>
  <si>
    <t>plastique</t>
  </si>
  <si>
    <t>Tranches de Jambon</t>
  </si>
  <si>
    <t>muscles</t>
  </si>
  <si>
    <t>Salaires</t>
  </si>
  <si>
    <t>AdWords</t>
  </si>
  <si>
    <t>C.A.</t>
  </si>
  <si>
    <t>Agent de Maîtrise</t>
  </si>
  <si>
    <t>Nom</t>
  </si>
  <si>
    <t>Poids unitaire</t>
  </si>
  <si>
    <t>Quantité</t>
  </si>
  <si>
    <t>Prix unitaire</t>
  </si>
  <si>
    <t>Prix au clic</t>
  </si>
  <si>
    <t>Pâté de porc</t>
  </si>
  <si>
    <t>chair porc</t>
  </si>
  <si>
    <t>Effectif</t>
  </si>
  <si>
    <t>porc</t>
  </si>
  <si>
    <t>100kg</t>
  </si>
  <si>
    <t>V.R.P.</t>
  </si>
  <si>
    <t>Budget Max</t>
  </si>
  <si>
    <t>fer</t>
  </si>
  <si>
    <t>Minimum Requis</t>
  </si>
  <si>
    <t>poulet</t>
  </si>
  <si>
    <t>2kg</t>
  </si>
  <si>
    <t>V.R.P. (% du C.A.</t>
  </si>
  <si>
    <t>Terrine de volaille</t>
  </si>
  <si>
    <t>Ok ?</t>
  </si>
  <si>
    <t>canard</t>
  </si>
  <si>
    <t>3kg</t>
  </si>
  <si>
    <t>chair poulet</t>
  </si>
  <si>
    <t>50kg</t>
  </si>
  <si>
    <t>chair canard</t>
  </si>
  <si>
    <t>60kg</t>
  </si>
  <si>
    <t>Ouvrier à embaucher</t>
  </si>
  <si>
    <t>Mousse de canard</t>
  </si>
  <si>
    <t>poitrail de canard</t>
  </si>
  <si>
    <t>Publicité</t>
  </si>
  <si>
    <t>Description</t>
  </si>
  <si>
    <t>Nombre</t>
  </si>
  <si>
    <t>Radio</t>
  </si>
  <si>
    <t>Radio Poulet Luxembourg</t>
  </si>
  <si>
    <t>Infos du jour</t>
  </si>
  <si>
    <t>Matière première</t>
  </si>
  <si>
    <t>Rendement (kg obtenu / unité MP)</t>
  </si>
  <si>
    <t>TV</t>
  </si>
  <si>
    <t>MCN</t>
  </si>
  <si>
    <t>Marché potentiel</t>
  </si>
  <si>
    <t>carcasse de porc (100kg)</t>
  </si>
  <si>
    <t>Pig and Chicken Channel</t>
  </si>
  <si>
    <t>Emissions cuisine</t>
  </si>
  <si>
    <t>Unité de vente</t>
  </si>
  <si>
    <t>Prix de vente</t>
  </si>
  <si>
    <t>Objectif de vente</t>
  </si>
  <si>
    <t>Objectif de production</t>
  </si>
  <si>
    <t>Total Possible</t>
  </si>
  <si>
    <t>TALADAL</t>
  </si>
  <si>
    <t>Emissions bio</t>
  </si>
  <si>
    <t>barquette(s)</t>
  </si>
  <si>
    <t>carcasse de poulet (2kg)</t>
  </si>
  <si>
    <t>boite(s)</t>
  </si>
  <si>
    <t>carcasse de canard (3kg)</t>
  </si>
  <si>
    <t>bobine de plastique (50kg)</t>
  </si>
  <si>
    <t>Montant estimé de la facture d'EtudCom :</t>
  </si>
  <si>
    <t>bobine de fer (60kg)</t>
  </si>
  <si>
    <t>Personnel</t>
  </si>
  <si>
    <t>Machines</t>
  </si>
  <si>
    <t>Quantité par unité /kg</t>
  </si>
  <si>
    <t>Porc carcasse en kg</t>
  </si>
  <si>
    <t>Poulet carcasse en kg</t>
  </si>
  <si>
    <t>Canard carcasse en kg</t>
  </si>
  <si>
    <t>Plastique bobine en kg</t>
  </si>
  <si>
    <t>Fer bobine en kg</t>
  </si>
  <si>
    <t>Total à payer</t>
  </si>
  <si>
    <t xml:space="preserve"> A Commander</t>
  </si>
  <si>
    <t>Marché Potentiel</t>
  </si>
  <si>
    <t>Poste</t>
  </si>
  <si>
    <t>Stocks</t>
  </si>
  <si>
    <t>INFORMATION ACTUEL DE L'ENTREPRISE, NE PAS TOUCHER !!</t>
  </si>
  <si>
    <t>Perte par MI</t>
  </si>
  <si>
    <t>Perte par MP</t>
  </si>
  <si>
    <t>Nb machines</t>
  </si>
  <si>
    <t>Nom machines</t>
  </si>
  <si>
    <t>Personnel Requis par Machines</t>
  </si>
  <si>
    <t>#Valider après que tout soit saisi.</t>
  </si>
  <si>
    <t>VISUALISATION DU PROCHAIN MOIS</t>
  </si>
  <si>
    <t xml:space="preserve">Effectif </t>
  </si>
  <si>
    <t>#2) Si tout est bon alors rentrer toutes les modifications dans "Information Actuel" puis cliquer sur le bouton ci-dessous</t>
  </si>
  <si>
    <t>#1) Si des cases sont rouges cliquer sur le bouton ci-dessous et retourner dans "Calcul Prochain Mois", jusqu'à ne plus avoir de vert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</si>
</sst>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164" formatCode="#,##0.00\ &quot;€&quot;"/>
    <numFmt numFmtId="165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u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1"/>
      </right>
      <top/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1"/>
      </right>
      <top/>
      <bottom style="thin">
        <color indexed="64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theme="1"/>
      </right>
      <top style="thin">
        <color indexed="64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/>
      <diagonal/>
    </border>
  </borders>
  <cellStyleXfs count="1">
    <xf numFmtId="0" fontId="0" fillId="0" borderId="0"/>
  </cellStyleXfs>
  <cellXfs count="198">
    <xf numFmtId="0" fontId="0" fillId="0" borderId="0" xfId="0"/>
    <xf numFmtId="164" fontId="0" fillId="3" borderId="27" xfId="0" applyNumberFormat="1" applyFill="1" applyBorder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2" fontId="2" fillId="3" borderId="5" xfId="0" applyNumberFormat="1" applyFont="1" applyFill="1" applyBorder="1" applyAlignment="1">
      <alignment horizontal="center" vertical="center"/>
    </xf>
    <xf numFmtId="2" fontId="2" fillId="3" borderId="6" xfId="0" applyNumberFormat="1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 wrapText="1"/>
    </xf>
    <xf numFmtId="2" fontId="2" fillId="3" borderId="0" xfId="0" applyNumberFormat="1" applyFont="1" applyFill="1" applyAlignment="1">
      <alignment horizontal="center" vertical="center" wrapText="1"/>
    </xf>
    <xf numFmtId="2" fontId="2" fillId="3" borderId="17" xfId="0" applyNumberFormat="1" applyFont="1" applyFill="1" applyBorder="1" applyAlignment="1">
      <alignment horizontal="center" vertical="center" wrapText="1"/>
    </xf>
    <xf numFmtId="164" fontId="2" fillId="3" borderId="27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8" fontId="0" fillId="3" borderId="9" xfId="0" applyNumberFormat="1" applyFill="1" applyBorder="1" applyAlignment="1">
      <alignment horizontal="center" vertical="center" wrapText="1"/>
    </xf>
    <xf numFmtId="10" fontId="0" fillId="3" borderId="9" xfId="0" applyNumberFormat="1" applyFill="1" applyBorder="1" applyAlignment="1">
      <alignment horizontal="center" vertical="center" wrapText="1"/>
    </xf>
    <xf numFmtId="2" fontId="0" fillId="3" borderId="35" xfId="0" applyNumberFormat="1" applyFill="1" applyBorder="1" applyAlignment="1">
      <alignment horizontal="center" vertical="center"/>
    </xf>
    <xf numFmtId="2" fontId="0" fillId="3" borderId="4" xfId="0" applyNumberFormat="1" applyFill="1" applyBorder="1" applyAlignment="1">
      <alignment horizontal="center" vertical="center"/>
    </xf>
    <xf numFmtId="164" fontId="6" fillId="3" borderId="29" xfId="0" applyNumberFormat="1" applyFont="1" applyFill="1" applyBorder="1" applyAlignment="1">
      <alignment horizontal="center" vertical="center" wrapText="1"/>
    </xf>
    <xf numFmtId="2" fontId="2" fillId="3" borderId="35" xfId="0" applyNumberFormat="1" applyFont="1" applyFill="1" applyBorder="1" applyAlignment="1">
      <alignment horizontal="center" vertical="center"/>
    </xf>
    <xf numFmtId="2" fontId="2" fillId="3" borderId="16" xfId="0" applyNumberFormat="1" applyFont="1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2" fontId="0" fillId="3" borderId="4" xfId="0" applyNumberFormat="1" applyFill="1" applyBorder="1" applyAlignment="1">
      <alignment horizontal="center" vertical="center" wrapText="1"/>
    </xf>
    <xf numFmtId="2" fontId="0" fillId="3" borderId="5" xfId="0" applyNumberFormat="1" applyFill="1" applyBorder="1" applyAlignment="1">
      <alignment horizontal="center" vertical="center" wrapText="1"/>
    </xf>
    <xf numFmtId="8" fontId="0" fillId="4" borderId="9" xfId="0" applyNumberFormat="1" applyFill="1" applyBorder="1" applyAlignment="1">
      <alignment horizontal="center" vertical="center" wrapText="1"/>
    </xf>
    <xf numFmtId="164" fontId="0" fillId="3" borderId="29" xfId="0" applyNumberForma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64" fontId="0" fillId="3" borderId="42" xfId="0" applyNumberForma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 wrapText="1"/>
    </xf>
    <xf numFmtId="2" fontId="0" fillId="0" borderId="6" xfId="0" applyNumberFormat="1" applyBorder="1" applyAlignment="1">
      <alignment horizontal="center" vertical="center" wrapText="1"/>
    </xf>
    <xf numFmtId="164" fontId="0" fillId="3" borderId="15" xfId="0" applyNumberFormat="1" applyFill="1" applyBorder="1" applyAlignment="1">
      <alignment horizontal="center" vertical="center"/>
    </xf>
    <xf numFmtId="164" fontId="0" fillId="3" borderId="16" xfId="0" applyNumberFormat="1" applyFill="1" applyBorder="1" applyAlignment="1">
      <alignment horizontal="center" vertical="center"/>
    </xf>
    <xf numFmtId="164" fontId="0" fillId="3" borderId="26" xfId="0" applyNumberFormat="1" applyFill="1" applyBorder="1" applyAlignment="1">
      <alignment horizontal="center" vertical="center"/>
    </xf>
    <xf numFmtId="164" fontId="0" fillId="3" borderId="25" xfId="0" applyNumberFormat="1" applyFill="1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 wrapText="1"/>
    </xf>
    <xf numFmtId="164" fontId="0" fillId="3" borderId="13" xfId="0" applyNumberFormat="1" applyFill="1" applyBorder="1" applyAlignment="1">
      <alignment horizontal="center" vertical="center"/>
    </xf>
    <xf numFmtId="2" fontId="0" fillId="0" borderId="29" xfId="0" applyNumberFormat="1" applyBorder="1" applyAlignment="1">
      <alignment horizontal="center" vertical="center" wrapText="1"/>
    </xf>
    <xf numFmtId="0" fontId="7" fillId="3" borderId="0" xfId="0" applyFont="1" applyFill="1" applyAlignment="1">
      <alignment horizontal="center" vertical="center"/>
    </xf>
    <xf numFmtId="49" fontId="1" fillId="6" borderId="36" xfId="0" applyNumberFormat="1" applyFont="1" applyFill="1" applyBorder="1" applyAlignment="1">
      <alignment horizontal="center" vertical="center" wrapText="1"/>
    </xf>
    <xf numFmtId="49" fontId="1" fillId="6" borderId="30" xfId="0" applyNumberFormat="1" applyFont="1" applyFill="1" applyBorder="1" applyAlignment="1">
      <alignment horizontal="center" vertical="center" wrapText="1"/>
    </xf>
    <xf numFmtId="49" fontId="1" fillId="6" borderId="32" xfId="0" applyNumberFormat="1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2" fontId="0" fillId="0" borderId="47" xfId="0" applyNumberFormat="1" applyBorder="1" applyAlignment="1">
      <alignment horizontal="center" vertical="center" wrapText="1"/>
    </xf>
    <xf numFmtId="2" fontId="0" fillId="0" borderId="49" xfId="0" applyNumberFormat="1" applyBorder="1" applyAlignment="1">
      <alignment horizontal="center" vertical="center" wrapText="1"/>
    </xf>
    <xf numFmtId="164" fontId="2" fillId="3" borderId="12" xfId="0" applyNumberFormat="1" applyFont="1" applyFill="1" applyBorder="1" applyAlignment="1">
      <alignment horizontal="center" vertical="center" wrapText="1"/>
    </xf>
    <xf numFmtId="164" fontId="1" fillId="3" borderId="12" xfId="0" applyNumberFormat="1" applyFont="1" applyFill="1" applyBorder="1" applyAlignment="1">
      <alignment horizontal="center" vertical="center" wrapText="1"/>
    </xf>
    <xf numFmtId="164" fontId="1" fillId="3" borderId="29" xfId="0" applyNumberFormat="1" applyFont="1" applyFill="1" applyBorder="1" applyAlignment="1">
      <alignment horizontal="center" vertical="center" wrapText="1"/>
    </xf>
    <xf numFmtId="2" fontId="1" fillId="3" borderId="0" xfId="0" applyNumberFormat="1" applyFont="1" applyFill="1" applyAlignment="1">
      <alignment horizontal="center" vertical="center" wrapText="1"/>
    </xf>
    <xf numFmtId="49" fontId="2" fillId="3" borderId="12" xfId="0" applyNumberFormat="1" applyFont="1" applyFill="1" applyBorder="1" applyAlignment="1">
      <alignment horizontal="center" vertical="center" wrapText="1"/>
    </xf>
    <xf numFmtId="49" fontId="2" fillId="3" borderId="35" xfId="0" applyNumberFormat="1" applyFont="1" applyFill="1" applyBorder="1" applyAlignment="1">
      <alignment horizontal="center" vertical="center" wrapText="1"/>
    </xf>
    <xf numFmtId="49" fontId="1" fillId="3" borderId="12" xfId="0" applyNumberFormat="1" applyFont="1" applyFill="1" applyBorder="1" applyAlignment="1">
      <alignment horizontal="center" vertical="center" wrapText="1"/>
    </xf>
    <xf numFmtId="49" fontId="1" fillId="3" borderId="35" xfId="0" applyNumberFormat="1" applyFont="1" applyFill="1" applyBorder="1" applyAlignment="1">
      <alignment horizontal="center" vertical="center" wrapText="1"/>
    </xf>
    <xf numFmtId="49" fontId="1" fillId="3" borderId="29" xfId="0" applyNumberFormat="1" applyFont="1" applyFill="1" applyBorder="1" applyAlignment="1">
      <alignment horizontal="center" vertical="center" wrapText="1"/>
    </xf>
    <xf numFmtId="49" fontId="1" fillId="3" borderId="4" xfId="0" applyNumberFormat="1" applyFont="1" applyFill="1" applyBorder="1" applyAlignment="1">
      <alignment horizontal="center" vertical="center" wrapText="1"/>
    </xf>
    <xf numFmtId="2" fontId="0" fillId="3" borderId="3" xfId="0" applyNumberFormat="1" applyFill="1" applyBorder="1" applyAlignment="1">
      <alignment horizontal="center" vertical="center"/>
    </xf>
    <xf numFmtId="2" fontId="0" fillId="3" borderId="6" xfId="0" applyNumberFormat="1" applyFill="1" applyBorder="1" applyAlignment="1">
      <alignment horizontal="center" vertical="center"/>
    </xf>
    <xf numFmtId="2" fontId="0" fillId="3" borderId="10" xfId="0" applyNumberFormat="1" applyFill="1" applyBorder="1" applyAlignment="1">
      <alignment horizontal="center" vertical="center"/>
    </xf>
    <xf numFmtId="49" fontId="1" fillId="2" borderId="7" xfId="0" applyNumberFormat="1" applyFont="1" applyFill="1" applyBorder="1" applyAlignment="1">
      <alignment horizontal="center" vertical="center" wrapText="1"/>
    </xf>
    <xf numFmtId="49" fontId="1" fillId="2" borderId="28" xfId="0" applyNumberFormat="1" applyFont="1" applyFill="1" applyBorder="1" applyAlignment="1">
      <alignment horizontal="center" vertical="center" wrapText="1"/>
    </xf>
    <xf numFmtId="49" fontId="0" fillId="0" borderId="11" xfId="0" applyNumberFormat="1" applyBorder="1" applyAlignment="1">
      <alignment horizontal="center" vertical="center" wrapText="1"/>
    </xf>
    <xf numFmtId="49" fontId="0" fillId="0" borderId="46" xfId="0" applyNumberFormat="1" applyBorder="1" applyAlignment="1">
      <alignment horizontal="center" vertical="center" wrapText="1"/>
    </xf>
    <xf numFmtId="49" fontId="0" fillId="0" borderId="48" xfId="0" applyNumberFormat="1" applyBorder="1" applyAlignment="1">
      <alignment horizontal="center" vertical="center" wrapText="1"/>
    </xf>
    <xf numFmtId="49" fontId="0" fillId="0" borderId="29" xfId="0" applyNumberFormat="1" applyBorder="1" applyAlignment="1">
      <alignment horizontal="center" vertical="center" wrapText="1"/>
    </xf>
    <xf numFmtId="49" fontId="0" fillId="0" borderId="28" xfId="0" applyNumberFormat="1" applyBorder="1" applyAlignment="1">
      <alignment horizontal="center" vertical="center" wrapText="1"/>
    </xf>
    <xf numFmtId="49" fontId="1" fillId="2" borderId="9" xfId="0" applyNumberFormat="1" applyFont="1" applyFill="1" applyBorder="1" applyAlignment="1">
      <alignment horizontal="center" vertical="center" wrapText="1"/>
    </xf>
    <xf numFmtId="49" fontId="1" fillId="2" borderId="28" xfId="0" applyNumberFormat="1" applyFont="1" applyFill="1" applyBorder="1" applyAlignment="1">
      <alignment horizontal="center" vertical="center"/>
    </xf>
    <xf numFmtId="49" fontId="1" fillId="2" borderId="11" xfId="0" applyNumberFormat="1" applyFont="1" applyFill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 wrapText="1"/>
    </xf>
    <xf numFmtId="165" fontId="0" fillId="0" borderId="10" xfId="0" applyNumberFormat="1" applyBorder="1" applyAlignment="1">
      <alignment horizontal="center" vertical="center" wrapText="1"/>
    </xf>
    <xf numFmtId="165" fontId="0" fillId="0" borderId="3" xfId="0" applyNumberFormat="1" applyBorder="1" applyAlignment="1">
      <alignment horizontal="center" vertical="center" wrapText="1"/>
    </xf>
    <xf numFmtId="165" fontId="0" fillId="0" borderId="6" xfId="0" applyNumberFormat="1" applyBorder="1" applyAlignment="1">
      <alignment horizontal="center" vertical="center" wrapText="1"/>
    </xf>
    <xf numFmtId="1" fontId="0" fillId="3" borderId="11" xfId="0" applyNumberFormat="1" applyFill="1" applyBorder="1" applyAlignment="1">
      <alignment horizontal="center" vertical="center"/>
    </xf>
    <xf numFmtId="1" fontId="0" fillId="3" borderId="12" xfId="0" applyNumberFormat="1" applyFill="1" applyBorder="1" applyAlignment="1">
      <alignment horizontal="center" vertical="center"/>
    </xf>
    <xf numFmtId="1" fontId="0" fillId="3" borderId="29" xfId="0" applyNumberFormat="1" applyFill="1" applyBorder="1" applyAlignment="1">
      <alignment horizontal="center" vertical="center"/>
    </xf>
    <xf numFmtId="49" fontId="1" fillId="6" borderId="24" xfId="0" applyNumberFormat="1" applyFont="1" applyFill="1" applyBorder="1" applyAlignment="1">
      <alignment horizontal="center" vertical="center"/>
    </xf>
    <xf numFmtId="49" fontId="1" fillId="6" borderId="18" xfId="0" applyNumberFormat="1" applyFont="1" applyFill="1" applyBorder="1" applyAlignment="1">
      <alignment horizontal="center" vertical="center"/>
    </xf>
    <xf numFmtId="49" fontId="0" fillId="5" borderId="37" xfId="0" applyNumberFormat="1" applyFill="1" applyBorder="1" applyAlignment="1">
      <alignment horizontal="center" vertical="center" wrapText="1"/>
    </xf>
    <xf numFmtId="49" fontId="0" fillId="5" borderId="16" xfId="0" applyNumberFormat="1" applyFill="1" applyBorder="1" applyAlignment="1">
      <alignment horizontal="center" vertical="center" wrapText="1"/>
    </xf>
    <xf numFmtId="49" fontId="0" fillId="5" borderId="33" xfId="0" applyNumberFormat="1" applyFill="1" applyBorder="1" applyAlignment="1">
      <alignment horizontal="center" vertical="center" wrapText="1"/>
    </xf>
    <xf numFmtId="49" fontId="1" fillId="6" borderId="14" xfId="0" applyNumberFormat="1" applyFont="1" applyFill="1" applyBorder="1" applyAlignment="1">
      <alignment horizontal="center" vertical="center" wrapText="1"/>
    </xf>
    <xf numFmtId="49" fontId="1" fillId="6" borderId="18" xfId="0" applyNumberFormat="1" applyFont="1" applyFill="1" applyBorder="1" applyAlignment="1">
      <alignment horizontal="center" vertical="center" wrapText="1"/>
    </xf>
    <xf numFmtId="49" fontId="1" fillId="6" borderId="15" xfId="0" applyNumberFormat="1" applyFont="1" applyFill="1" applyBorder="1" applyAlignment="1">
      <alignment horizontal="center" vertical="center"/>
    </xf>
    <xf numFmtId="2" fontId="2" fillId="3" borderId="37" xfId="0" applyNumberFormat="1" applyFont="1" applyFill="1" applyBorder="1" applyAlignment="1">
      <alignment horizontal="center" vertical="center"/>
    </xf>
    <xf numFmtId="2" fontId="2" fillId="3" borderId="33" xfId="0" applyNumberFormat="1" applyFont="1" applyFill="1" applyBorder="1" applyAlignment="1">
      <alignment horizontal="center" vertical="center"/>
    </xf>
    <xf numFmtId="164" fontId="2" fillId="3" borderId="38" xfId="0" applyNumberFormat="1" applyFont="1" applyFill="1" applyBorder="1" applyAlignment="1">
      <alignment horizontal="center" vertical="center"/>
    </xf>
    <xf numFmtId="164" fontId="0" fillId="3" borderId="39" xfId="0" applyNumberForma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164" fontId="0" fillId="3" borderId="31" xfId="0" applyNumberForma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164" fontId="0" fillId="3" borderId="34" xfId="0" applyNumberFormat="1" applyFill="1" applyBorder="1" applyAlignment="1">
      <alignment horizontal="center" vertical="center"/>
    </xf>
    <xf numFmtId="164" fontId="0" fillId="3" borderId="0" xfId="0" applyNumberFormat="1" applyFill="1" applyAlignment="1">
      <alignment horizontal="center" vertical="center" wrapText="1"/>
    </xf>
    <xf numFmtId="164" fontId="0" fillId="3" borderId="28" xfId="0" applyNumberFormat="1" applyFill="1" applyBorder="1" applyAlignment="1">
      <alignment horizontal="center" vertical="center"/>
    </xf>
    <xf numFmtId="49" fontId="4" fillId="6" borderId="19" xfId="0" applyNumberFormat="1" applyFont="1" applyFill="1" applyBorder="1" applyAlignment="1">
      <alignment horizontal="center" vertical="center" wrapText="1"/>
    </xf>
    <xf numFmtId="49" fontId="4" fillId="6" borderId="0" xfId="0" applyNumberFormat="1" applyFont="1" applyFill="1" applyAlignment="1">
      <alignment horizontal="center" vertical="center" wrapText="1"/>
    </xf>
    <xf numFmtId="49" fontId="4" fillId="6" borderId="26" xfId="0" applyNumberFormat="1" applyFont="1" applyFill="1" applyBorder="1" applyAlignment="1">
      <alignment horizontal="center" vertical="center" wrapText="1"/>
    </xf>
    <xf numFmtId="49" fontId="4" fillId="6" borderId="45" xfId="0" applyNumberFormat="1" applyFont="1" applyFill="1" applyBorder="1" applyAlignment="1">
      <alignment horizontal="center" vertical="center" wrapText="1"/>
    </xf>
    <xf numFmtId="49" fontId="4" fillId="6" borderId="44" xfId="0" applyNumberFormat="1" applyFont="1" applyFill="1" applyBorder="1" applyAlignment="1">
      <alignment horizontal="center" vertical="center"/>
    </xf>
    <xf numFmtId="49" fontId="4" fillId="6" borderId="25" xfId="0" applyNumberFormat="1" applyFont="1" applyFill="1" applyBorder="1" applyAlignment="1">
      <alignment horizontal="center" vertical="center" wrapText="1"/>
    </xf>
    <xf numFmtId="49" fontId="4" fillId="6" borderId="18" xfId="0" applyNumberFormat="1" applyFont="1" applyFill="1" applyBorder="1" applyAlignment="1">
      <alignment horizontal="center" vertical="center" wrapText="1"/>
    </xf>
    <xf numFmtId="49" fontId="4" fillId="6" borderId="20" xfId="0" applyNumberFormat="1" applyFont="1" applyFill="1" applyBorder="1" applyAlignment="1">
      <alignment horizontal="center" vertical="center" wrapText="1"/>
    </xf>
    <xf numFmtId="49" fontId="2" fillId="5" borderId="18" xfId="0" applyNumberFormat="1" applyFont="1" applyFill="1" applyBorder="1" applyAlignment="1">
      <alignment horizontal="center" vertical="center" wrapText="1"/>
    </xf>
    <xf numFmtId="49" fontId="2" fillId="5" borderId="19" xfId="0" applyNumberFormat="1" applyFont="1" applyFill="1" applyBorder="1" applyAlignment="1">
      <alignment horizontal="center" vertical="center" wrapText="1"/>
    </xf>
    <xf numFmtId="49" fontId="2" fillId="5" borderId="20" xfId="0" applyNumberFormat="1" applyFont="1" applyFill="1" applyBorder="1" applyAlignment="1">
      <alignment horizontal="center" vertical="center" wrapText="1"/>
    </xf>
    <xf numFmtId="2" fontId="0" fillId="3" borderId="41" xfId="0" applyNumberFormat="1" applyFill="1" applyBorder="1" applyAlignment="1">
      <alignment horizontal="center" vertical="center"/>
    </xf>
    <xf numFmtId="2" fontId="0" fillId="3" borderId="44" xfId="0" applyNumberFormat="1" applyFill="1" applyBorder="1" applyAlignment="1">
      <alignment horizontal="center" vertical="center"/>
    </xf>
    <xf numFmtId="2" fontId="0" fillId="3" borderId="42" xfId="0" applyNumberFormat="1" applyFill="1" applyBorder="1" applyAlignment="1">
      <alignment horizontal="center" vertical="center"/>
    </xf>
    <xf numFmtId="1" fontId="0" fillId="3" borderId="7" xfId="0" applyNumberFormat="1" applyFill="1" applyBorder="1" applyAlignment="1">
      <alignment horizontal="center" vertical="center"/>
    </xf>
    <xf numFmtId="1" fontId="0" fillId="3" borderId="8" xfId="0" applyNumberFormat="1" applyFill="1" applyBorder="1" applyAlignment="1">
      <alignment horizontal="center" vertical="center"/>
    </xf>
    <xf numFmtId="1" fontId="0" fillId="3" borderId="9" xfId="0" applyNumberFormat="1" applyFill="1" applyBorder="1" applyAlignment="1">
      <alignment horizontal="center" vertical="center"/>
    </xf>
    <xf numFmtId="1" fontId="0" fillId="3" borderId="28" xfId="0" applyNumberFormat="1" applyFill="1" applyBorder="1" applyAlignment="1">
      <alignment horizontal="center" vertical="center"/>
    </xf>
    <xf numFmtId="1" fontId="0" fillId="3" borderId="35" xfId="0" applyNumberFormat="1" applyFill="1" applyBorder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1" fontId="0" fillId="3" borderId="10" xfId="0" applyNumberFormat="1" applyFill="1" applyBorder="1" applyAlignment="1">
      <alignment horizontal="center" vertical="center" wrapText="1"/>
    </xf>
    <xf numFmtId="1" fontId="0" fillId="3" borderId="1" xfId="0" applyNumberFormat="1" applyFill="1" applyBorder="1" applyAlignment="1">
      <alignment horizontal="center" vertical="center"/>
    </xf>
    <xf numFmtId="1" fontId="0" fillId="3" borderId="2" xfId="0" applyNumberFormat="1" applyFill="1" applyBorder="1" applyAlignment="1">
      <alignment horizontal="center" vertical="center"/>
    </xf>
    <xf numFmtId="1" fontId="0" fillId="3" borderId="3" xfId="0" applyNumberFormat="1" applyFill="1" applyBorder="1" applyAlignment="1">
      <alignment horizontal="center" vertical="center"/>
    </xf>
    <xf numFmtId="1" fontId="0" fillId="3" borderId="4" xfId="0" applyNumberFormat="1" applyFill="1" applyBorder="1" applyAlignment="1">
      <alignment horizontal="center" vertical="center" wrapText="1"/>
    </xf>
    <xf numFmtId="1" fontId="0" fillId="3" borderId="5" xfId="0" applyNumberFormat="1" applyFill="1" applyBorder="1" applyAlignment="1">
      <alignment horizontal="center" vertical="center" wrapText="1"/>
    </xf>
    <xf numFmtId="1" fontId="0" fillId="3" borderId="6" xfId="0" applyNumberFormat="1" applyFill="1" applyBorder="1" applyAlignment="1">
      <alignment horizontal="center" vertical="center" wrapText="1"/>
    </xf>
    <xf numFmtId="49" fontId="1" fillId="2" borderId="43" xfId="0" applyNumberFormat="1" applyFont="1" applyFill="1" applyBorder="1" applyAlignment="1">
      <alignment horizontal="center" vertical="center"/>
    </xf>
    <xf numFmtId="49" fontId="1" fillId="6" borderId="11" xfId="0" applyNumberFormat="1" applyFont="1" applyFill="1" applyBorder="1" applyAlignment="1">
      <alignment horizontal="center" vertical="center" wrapText="1"/>
    </xf>
    <xf numFmtId="49" fontId="1" fillId="6" borderId="7" xfId="0" applyNumberFormat="1" applyFont="1" applyFill="1" applyBorder="1" applyAlignment="1">
      <alignment horizontal="center" vertical="center" wrapText="1"/>
    </xf>
    <xf numFmtId="49" fontId="1" fillId="6" borderId="4" xfId="0" applyNumberFormat="1" applyFont="1" applyFill="1" applyBorder="1" applyAlignment="1">
      <alignment horizontal="center" vertical="center" wrapText="1"/>
    </xf>
    <xf numFmtId="49" fontId="1" fillId="6" borderId="28" xfId="0" applyNumberFormat="1" applyFont="1" applyFill="1" applyBorder="1" applyAlignment="1">
      <alignment horizontal="center" vertical="center" wrapText="1"/>
    </xf>
    <xf numFmtId="49" fontId="1" fillId="6" borderId="8" xfId="0" applyNumberFormat="1" applyFont="1" applyFill="1" applyBorder="1" applyAlignment="1">
      <alignment horizontal="center" vertical="center" wrapText="1"/>
    </xf>
    <xf numFmtId="49" fontId="1" fillId="6" borderId="9" xfId="0" applyNumberFormat="1" applyFont="1" applyFill="1" applyBorder="1" applyAlignment="1">
      <alignment horizontal="center" vertical="center" wrapText="1"/>
    </xf>
    <xf numFmtId="49" fontId="1" fillId="6" borderId="28" xfId="0" applyNumberFormat="1" applyFont="1" applyFill="1" applyBorder="1" applyAlignment="1">
      <alignment horizontal="center" vertical="center"/>
    </xf>
    <xf numFmtId="49" fontId="1" fillId="6" borderId="8" xfId="0" applyNumberFormat="1" applyFont="1" applyFill="1" applyBorder="1" applyAlignment="1">
      <alignment horizontal="center" vertical="center"/>
    </xf>
    <xf numFmtId="49" fontId="1" fillId="6" borderId="9" xfId="0" applyNumberFormat="1" applyFont="1" applyFill="1" applyBorder="1" applyAlignment="1">
      <alignment horizontal="center" vertical="center"/>
    </xf>
    <xf numFmtId="49" fontId="4" fillId="6" borderId="7" xfId="0" applyNumberFormat="1" applyFont="1" applyFill="1" applyBorder="1" applyAlignment="1">
      <alignment horizontal="center" vertical="center" wrapText="1"/>
    </xf>
    <xf numFmtId="49" fontId="4" fillId="6" borderId="8" xfId="0" applyNumberFormat="1" applyFont="1" applyFill="1" applyBorder="1" applyAlignment="1">
      <alignment horizontal="center" vertical="center" wrapText="1"/>
    </xf>
    <xf numFmtId="49" fontId="4" fillId="6" borderId="9" xfId="0" applyNumberFormat="1" applyFont="1" applyFill="1" applyBorder="1" applyAlignment="1">
      <alignment horizontal="center" vertical="center" wrapText="1"/>
    </xf>
    <xf numFmtId="49" fontId="1" fillId="6" borderId="5" xfId="0" applyNumberFormat="1" applyFont="1" applyFill="1" applyBorder="1" applyAlignment="1">
      <alignment horizontal="center" vertical="center" wrapText="1"/>
    </xf>
    <xf numFmtId="49" fontId="1" fillId="6" borderId="6" xfId="0" applyNumberFormat="1" applyFont="1" applyFill="1" applyBorder="1" applyAlignment="1">
      <alignment horizontal="center" vertical="center" wrapText="1"/>
    </xf>
    <xf numFmtId="49" fontId="1" fillId="6" borderId="29" xfId="0" applyNumberFormat="1" applyFont="1" applyFill="1" applyBorder="1" applyAlignment="1">
      <alignment horizontal="center" vertical="center"/>
    </xf>
    <xf numFmtId="49" fontId="1" fillId="6" borderId="7" xfId="0" applyNumberFormat="1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6" borderId="11" xfId="0" applyNumberFormat="1" applyFont="1" applyFill="1" applyBorder="1" applyAlignment="1">
      <alignment horizontal="center" vertical="center"/>
    </xf>
    <xf numFmtId="49" fontId="4" fillId="6" borderId="30" xfId="0" applyNumberFormat="1" applyFont="1" applyFill="1" applyBorder="1" applyAlignment="1">
      <alignment horizontal="center" vertical="center" wrapText="1"/>
    </xf>
    <xf numFmtId="49" fontId="4" fillId="6" borderId="50" xfId="0" applyNumberFormat="1" applyFont="1" applyFill="1" applyBorder="1" applyAlignment="1">
      <alignment horizontal="center" vertical="center"/>
    </xf>
    <xf numFmtId="164" fontId="0" fillId="3" borderId="5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49" fontId="1" fillId="6" borderId="2" xfId="0" applyNumberFormat="1" applyFont="1" applyFill="1" applyBorder="1" applyAlignment="1">
      <alignment horizontal="center" vertical="center" wrapText="1"/>
    </xf>
    <xf numFmtId="0" fontId="0" fillId="0" borderId="43" xfId="0" applyBorder="1"/>
    <xf numFmtId="2" fontId="0" fillId="3" borderId="11" xfId="0" applyNumberFormat="1" applyFill="1" applyBorder="1" applyAlignment="1">
      <alignment horizontal="center" vertical="center"/>
    </xf>
    <xf numFmtId="2" fontId="0" fillId="3" borderId="29" xfId="0" applyNumberFormat="1" applyFill="1" applyBorder="1" applyAlignment="1">
      <alignment horizontal="center" vertical="center"/>
    </xf>
    <xf numFmtId="49" fontId="1" fillId="2" borderId="21" xfId="0" applyNumberFormat="1" applyFont="1" applyFill="1" applyBorder="1" applyAlignment="1">
      <alignment horizontal="center" vertical="center"/>
    </xf>
    <xf numFmtId="49" fontId="1" fillId="2" borderId="22" xfId="0" applyNumberFormat="1" applyFont="1" applyFill="1" applyBorder="1" applyAlignment="1">
      <alignment horizontal="center" vertical="center"/>
    </xf>
    <xf numFmtId="49" fontId="1" fillId="2" borderId="23" xfId="0" applyNumberFormat="1" applyFont="1" applyFill="1" applyBorder="1" applyAlignment="1">
      <alignment horizontal="center" vertical="center"/>
    </xf>
    <xf numFmtId="49" fontId="1" fillId="6" borderId="11" xfId="0" applyNumberFormat="1" applyFont="1" applyFill="1" applyBorder="1" applyAlignment="1">
      <alignment horizontal="center" vertical="center" wrapText="1"/>
    </xf>
    <xf numFmtId="49" fontId="1" fillId="6" borderId="12" xfId="0" applyNumberFormat="1" applyFont="1" applyFill="1" applyBorder="1" applyAlignment="1">
      <alignment horizontal="center" vertical="center" wrapText="1"/>
    </xf>
    <xf numFmtId="49" fontId="1" fillId="6" borderId="29" xfId="0" applyNumberFormat="1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49" fontId="3" fillId="2" borderId="7" xfId="0" applyNumberFormat="1" applyFont="1" applyFill="1" applyBorder="1" applyAlignment="1">
      <alignment horizontal="center" vertical="center" wrapText="1"/>
    </xf>
    <xf numFmtId="49" fontId="3" fillId="2" borderId="8" xfId="0" applyNumberFormat="1" applyFont="1" applyFill="1" applyBorder="1" applyAlignment="1">
      <alignment horizontal="center" vertical="center" wrapText="1"/>
    </xf>
    <xf numFmtId="49" fontId="3" fillId="2" borderId="9" xfId="0" applyNumberFormat="1" applyFont="1" applyFill="1" applyBorder="1" applyAlignment="1">
      <alignment horizontal="center" vertical="center" wrapText="1"/>
    </xf>
    <xf numFmtId="2" fontId="0" fillId="3" borderId="11" xfId="0" applyNumberFormat="1" applyFill="1" applyBorder="1" applyAlignment="1">
      <alignment horizontal="center" vertical="center"/>
    </xf>
    <xf numFmtId="2" fontId="0" fillId="3" borderId="29" xfId="0" applyNumberFormat="1" applyFill="1" applyBorder="1" applyAlignment="1">
      <alignment horizontal="center" vertical="center"/>
    </xf>
    <xf numFmtId="49" fontId="1" fillId="6" borderId="7" xfId="0" applyNumberFormat="1" applyFont="1" applyFill="1" applyBorder="1" applyAlignment="1">
      <alignment horizontal="center" vertical="center" wrapText="1"/>
    </xf>
    <xf numFmtId="49" fontId="1" fillId="6" borderId="8" xfId="0" applyNumberFormat="1" applyFont="1" applyFill="1" applyBorder="1" applyAlignment="1">
      <alignment horizontal="center" vertical="center" wrapText="1"/>
    </xf>
    <xf numFmtId="49" fontId="1" fillId="6" borderId="9" xfId="0" applyNumberFormat="1" applyFont="1" applyFill="1" applyBorder="1" applyAlignment="1">
      <alignment horizontal="center" vertical="center" wrapText="1"/>
    </xf>
    <xf numFmtId="0" fontId="8" fillId="3" borderId="3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49" fontId="9" fillId="7" borderId="0" xfId="0" applyNumberFormat="1" applyFont="1" applyFill="1" applyAlignment="1">
      <alignment horizontal="center" vertical="center"/>
    </xf>
    <xf numFmtId="49" fontId="1" fillId="2" borderId="7" xfId="0" applyNumberFormat="1" applyFont="1" applyFill="1" applyBorder="1" applyAlignment="1">
      <alignment horizontal="center" vertical="center"/>
    </xf>
    <xf numFmtId="49" fontId="0" fillId="2" borderId="8" xfId="0" applyNumberFormat="1" applyFill="1" applyBorder="1" applyAlignment="1">
      <alignment horizontal="center" vertical="center"/>
    </xf>
    <xf numFmtId="49" fontId="0" fillId="2" borderId="9" xfId="0" applyNumberFormat="1" applyFill="1" applyBorder="1" applyAlignment="1">
      <alignment horizontal="center" vertical="center"/>
    </xf>
    <xf numFmtId="49" fontId="1" fillId="2" borderId="8" xfId="0" applyNumberFormat="1" applyFont="1" applyFill="1" applyBorder="1" applyAlignment="1">
      <alignment horizontal="center" vertical="center"/>
    </xf>
    <xf numFmtId="49" fontId="1" fillId="2" borderId="9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49" fontId="1" fillId="6" borderId="1" xfId="0" applyNumberFormat="1" applyFont="1" applyFill="1" applyBorder="1" applyAlignment="1">
      <alignment horizontal="center" vertical="center" wrapText="1"/>
    </xf>
    <xf numFmtId="49" fontId="1" fillId="6" borderId="2" xfId="0" applyNumberFormat="1" applyFont="1" applyFill="1" applyBorder="1" applyAlignment="1">
      <alignment horizontal="center" vertical="center" wrapText="1"/>
    </xf>
    <xf numFmtId="49" fontId="1" fillId="6" borderId="3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8" fillId="3" borderId="0" xfId="0" applyFont="1" applyFill="1" applyBorder="1" applyAlignment="1">
      <alignment horizontal="center" vertical="center"/>
    </xf>
    <xf numFmtId="0" fontId="0" fillId="2" borderId="0" xfId="0" applyFill="1"/>
    <xf numFmtId="0" fontId="0" fillId="2" borderId="0" xfId="0" applyFill="1" applyBorder="1"/>
    <xf numFmtId="0" fontId="8" fillId="3" borderId="0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0" fillId="3" borderId="0" xfId="0" applyFill="1" applyAlignment="1">
      <alignment vertical="center"/>
    </xf>
    <xf numFmtId="0" fontId="0" fillId="6" borderId="11" xfId="0" applyFill="1" applyBorder="1" applyAlignment="1">
      <alignment horizontal="center" vertical="center"/>
    </xf>
    <xf numFmtId="0" fontId="1" fillId="6" borderId="28" xfId="0" applyFont="1" applyFill="1" applyBorder="1" applyAlignment="1">
      <alignment horizontal="center" vertical="center"/>
    </xf>
    <xf numFmtId="0" fontId="1" fillId="6" borderId="29" xfId="0" applyFont="1" applyFill="1" applyBorder="1" applyAlignment="1">
      <alignment horizontal="center" vertical="center"/>
    </xf>
    <xf numFmtId="49" fontId="4" fillId="6" borderId="52" xfId="0" applyNumberFormat="1" applyFont="1" applyFill="1" applyBorder="1" applyAlignment="1">
      <alignment horizontal="center" vertical="center" wrapText="1"/>
    </xf>
    <xf numFmtId="49" fontId="4" fillId="6" borderId="35" xfId="0" applyNumberFormat="1" applyFont="1" applyFill="1" applyBorder="1" applyAlignment="1">
      <alignment horizontal="center" vertical="center" wrapText="1"/>
    </xf>
    <xf numFmtId="49" fontId="4" fillId="6" borderId="4" xfId="0" applyNumberFormat="1" applyFont="1" applyFill="1" applyBorder="1" applyAlignment="1">
      <alignment horizontal="center" vertical="center" wrapText="1"/>
    </xf>
    <xf numFmtId="49" fontId="2" fillId="5" borderId="15" xfId="0" applyNumberFormat="1" applyFont="1" applyFill="1" applyBorder="1" applyAlignment="1">
      <alignment horizontal="center" vertical="center" wrapText="1"/>
    </xf>
    <xf numFmtId="49" fontId="2" fillId="5" borderId="16" xfId="0" applyNumberFormat="1" applyFont="1" applyFill="1" applyBorder="1" applyAlignment="1">
      <alignment horizontal="center" vertical="center" wrapText="1"/>
    </xf>
    <xf numFmtId="49" fontId="2" fillId="5" borderId="33" xfId="0" applyNumberFormat="1" applyFont="1" applyFill="1" applyBorder="1" applyAlignment="1">
      <alignment horizontal="center" vertical="center" wrapText="1"/>
    </xf>
    <xf numFmtId="2" fontId="2" fillId="3" borderId="11" xfId="0" applyNumberFormat="1" applyFont="1" applyFill="1" applyBorder="1" applyAlignment="1">
      <alignment horizontal="center" vertical="center" wrapText="1"/>
    </xf>
    <xf numFmtId="2" fontId="2" fillId="3" borderId="12" xfId="0" applyNumberFormat="1" applyFont="1" applyFill="1" applyBorder="1" applyAlignment="1">
      <alignment horizontal="center" vertical="center" wrapText="1"/>
    </xf>
    <xf numFmtId="2" fontId="2" fillId="3" borderId="29" xfId="0" applyNumberFormat="1" applyFont="1" applyFill="1" applyBorder="1" applyAlignment="1">
      <alignment horizontal="center" vertical="center" wrapText="1"/>
    </xf>
    <xf numFmtId="2" fontId="0" fillId="3" borderId="12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20"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numFmt numFmtId="0" formatCode="General"/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numFmt numFmtId="0" formatCode="General"/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B1D6E1"/>
      <color rgb="FF99CCFF"/>
      <color rgb="FFFFCCFF"/>
      <color rgb="FFFF99FF"/>
      <color rgb="FFE640CD"/>
      <color rgb="FF8253E0"/>
      <color rgb="FF5FF5AA"/>
      <color rgb="FF2CD181"/>
      <color rgb="FF5DB5C7"/>
      <color rgb="FF966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10</xdr:row>
          <xdr:rowOff>9525</xdr:rowOff>
        </xdr:from>
        <xdr:to>
          <xdr:col>1</xdr:col>
          <xdr:colOff>752475</xdr:colOff>
          <xdr:row>11</xdr:row>
          <xdr:rowOff>9525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371475</xdr:rowOff>
        </xdr:from>
        <xdr:to>
          <xdr:col>15</xdr:col>
          <xdr:colOff>9525</xdr:colOff>
          <xdr:row>4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180975</xdr:rowOff>
        </xdr:from>
        <xdr:to>
          <xdr:col>15</xdr:col>
          <xdr:colOff>9525</xdr:colOff>
          <xdr:row>3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4D6E207A-DFAA-0EE6-07C1-F3098CBCA3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Réinitialiser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84</xdr:row>
          <xdr:rowOff>19050</xdr:rowOff>
        </xdr:from>
        <xdr:to>
          <xdr:col>7</xdr:col>
          <xdr:colOff>704850</xdr:colOff>
          <xdr:row>94</xdr:row>
          <xdr:rowOff>171450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F3C75DE6-6E26-48DA-BE9F-94D413F709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Supprimer la Vue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tabColor theme="8" tint="0.39997558519241921"/>
  </sheetPr>
  <dimension ref="A1:AK100"/>
  <sheetViews>
    <sheetView zoomScaleNormal="100" workbookViewId="0">
      <selection activeCell="G8" sqref="G8"/>
    </sheetView>
  </sheetViews>
  <sheetFormatPr baseColWidth="10" defaultColWidth="0" defaultRowHeight="15" zeroHeight="1" x14ac:dyDescent="0.25"/>
  <cols>
    <col min="1" max="1" width="9.140625" style="3" customWidth="1"/>
    <col min="2" max="2" width="22.42578125" style="3" bestFit="1" customWidth="1"/>
    <col min="3" max="3" width="18.42578125" style="3" bestFit="1" customWidth="1"/>
    <col min="4" max="4" width="15.42578125" style="3" bestFit="1" customWidth="1"/>
    <col min="5" max="5" width="12.42578125" style="3" bestFit="1" customWidth="1"/>
    <col min="6" max="6" width="20.140625" style="3" bestFit="1" customWidth="1"/>
    <col min="7" max="7" width="21.28515625" style="3" bestFit="1" customWidth="1"/>
    <col min="8" max="8" width="15.7109375" style="3" bestFit="1" customWidth="1"/>
    <col min="9" max="9" width="19.7109375" style="3" bestFit="1" customWidth="1"/>
    <col min="10" max="10" width="12.85546875" style="3" bestFit="1" customWidth="1"/>
    <col min="11" max="11" width="11.42578125" style="3" bestFit="1" customWidth="1"/>
    <col min="12" max="12" width="11.85546875" style="3" bestFit="1" customWidth="1"/>
    <col min="13" max="13" width="19" style="3" bestFit="1" customWidth="1"/>
    <col min="14" max="14" width="15" style="3" bestFit="1" customWidth="1"/>
    <col min="15" max="15" width="29.7109375" style="3" bestFit="1" customWidth="1"/>
    <col min="16" max="16" width="19.42578125" style="3" bestFit="1" customWidth="1"/>
    <col min="17" max="17" width="16.7109375" style="3" hidden="1" customWidth="1"/>
    <col min="18" max="18" width="16.5703125" style="3" hidden="1" customWidth="1"/>
    <col min="19" max="19" width="12.85546875" style="3" hidden="1" customWidth="1"/>
    <col min="20" max="20" width="17.5703125" style="3" hidden="1" customWidth="1"/>
    <col min="21" max="21" width="24.28515625" style="3" hidden="1" customWidth="1"/>
    <col min="22" max="22" width="8.140625" style="3" hidden="1" customWidth="1"/>
    <col min="23" max="24" width="9.140625" style="3" hidden="1" customWidth="1"/>
    <col min="25" max="26" width="11.42578125" style="3" hidden="1" customWidth="1"/>
    <col min="27" max="29" width="9.140625" style="3" hidden="1" customWidth="1"/>
    <col min="30" max="30" width="9.7109375" style="3" hidden="1" customWidth="1"/>
    <col min="31" max="31" width="9.140625" style="3" hidden="1" customWidth="1"/>
    <col min="32" max="32" width="13.42578125" style="3" hidden="1" customWidth="1"/>
    <col min="33" max="34" width="9.140625" style="3" hidden="1" customWidth="1"/>
    <col min="35" max="35" width="12" style="3" hidden="1" customWidth="1"/>
    <col min="36" max="36" width="9.140625" style="3" hidden="1" customWidth="1"/>
    <col min="37" max="37" width="15.7109375" style="3" hidden="1" customWidth="1"/>
    <col min="38" max="16384" width="9.140625" style="3" hidden="1"/>
  </cols>
  <sheetData>
    <row r="1" spans="2:11" s="42" customFormat="1" ht="36" x14ac:dyDescent="0.25">
      <c r="B1" s="167" t="s">
        <v>94</v>
      </c>
      <c r="C1" s="167"/>
      <c r="D1" s="167"/>
      <c r="E1" s="167"/>
      <c r="F1" s="167"/>
      <c r="G1" s="167"/>
      <c r="H1" s="167"/>
      <c r="I1" s="167"/>
    </row>
    <row r="2" spans="2:11" x14ac:dyDescent="0.25">
      <c r="K2" s="37"/>
    </row>
    <row r="3" spans="2:11" x14ac:dyDescent="0.25">
      <c r="B3" s="168" t="s">
        <v>81</v>
      </c>
      <c r="C3" s="171"/>
      <c r="D3" s="171"/>
      <c r="E3" s="171"/>
      <c r="F3" s="171"/>
      <c r="G3" s="171"/>
      <c r="H3" s="172"/>
      <c r="K3" s="37"/>
    </row>
    <row r="4" spans="2:11" x14ac:dyDescent="0.25">
      <c r="B4" s="122" t="s">
        <v>3</v>
      </c>
      <c r="C4" s="125" t="s">
        <v>4</v>
      </c>
      <c r="D4" s="125" t="s">
        <v>5</v>
      </c>
      <c r="E4" s="125" t="s">
        <v>6</v>
      </c>
      <c r="F4" s="125" t="s">
        <v>7</v>
      </c>
      <c r="G4" s="125" t="s">
        <v>8</v>
      </c>
      <c r="H4" s="126" t="s">
        <v>9</v>
      </c>
      <c r="I4" s="165"/>
      <c r="J4" s="178"/>
      <c r="K4" s="37"/>
    </row>
    <row r="5" spans="2:11" x14ac:dyDescent="0.25">
      <c r="B5" s="117">
        <v>11</v>
      </c>
      <c r="C5" s="118">
        <v>5</v>
      </c>
      <c r="D5" s="118">
        <v>5</v>
      </c>
      <c r="E5" s="118">
        <v>5</v>
      </c>
      <c r="F5" s="118">
        <v>55</v>
      </c>
      <c r="G5" s="118">
        <v>1</v>
      </c>
      <c r="H5" s="119">
        <v>1</v>
      </c>
      <c r="K5" s="37"/>
    </row>
    <row r="6" spans="2:11" x14ac:dyDescent="0.25">
      <c r="K6" s="37"/>
    </row>
    <row r="7" spans="2:11" x14ac:dyDescent="0.25">
      <c r="B7" s="168" t="s">
        <v>92</v>
      </c>
      <c r="C7" s="169"/>
      <c r="D7" s="169"/>
      <c r="E7" s="169"/>
      <c r="F7" s="170"/>
      <c r="K7" s="37"/>
    </row>
    <row r="8" spans="2:11" x14ac:dyDescent="0.25">
      <c r="B8" s="127"/>
      <c r="C8" s="136" t="s">
        <v>24</v>
      </c>
      <c r="D8" s="128" t="s">
        <v>4</v>
      </c>
      <c r="E8" s="128" t="s">
        <v>6</v>
      </c>
      <c r="F8" s="129" t="s">
        <v>8</v>
      </c>
      <c r="K8" s="37"/>
    </row>
    <row r="9" spans="2:11" x14ac:dyDescent="0.25">
      <c r="B9" s="138" t="s">
        <v>32</v>
      </c>
      <c r="C9" s="107">
        <f>'Information - Actuel'!B5</f>
        <v>11</v>
      </c>
      <c r="D9" s="108">
        <f>'Information - Actuel'!C5</f>
        <v>5</v>
      </c>
      <c r="E9" s="108">
        <f>'Information - Actuel'!E5</f>
        <v>5</v>
      </c>
      <c r="F9" s="109">
        <f>'Information - Actuel'!G5</f>
        <v>1</v>
      </c>
      <c r="G9" s="165"/>
      <c r="H9" s="166"/>
      <c r="I9" s="166"/>
      <c r="K9" s="37"/>
    </row>
    <row r="10" spans="2:11" x14ac:dyDescent="0.25">
      <c r="B10" s="127" t="s">
        <v>38</v>
      </c>
      <c r="C10" s="114">
        <f>ROUNDUP('Information - Actuel'!F5/5,0)</f>
        <v>11</v>
      </c>
      <c r="D10" s="115">
        <f>ROUNDUP(MAX('Information - Actuel'!B5,'Information - Actuel'!D5,'Information - Actuel'!F5)/18,0)</f>
        <v>4</v>
      </c>
      <c r="E10" s="115">
        <f>ROUNDUP(MAX('Information - Actuel'!B5,'Information - Actuel'!C5,'Information - Actuel'!D5,'Information - Actuel'!G5,'Information - Actuel'!H5)/15,0)</f>
        <v>1</v>
      </c>
      <c r="F10" s="116">
        <f>ROUNDUP('Information - Actuel'!D5/5,0)</f>
        <v>1</v>
      </c>
      <c r="G10" s="165"/>
      <c r="H10" s="166"/>
      <c r="I10" s="166"/>
      <c r="K10" s="37"/>
    </row>
    <row r="11" spans="2:11" x14ac:dyDescent="0.25">
      <c r="B11" s="137" t="s">
        <v>43</v>
      </c>
      <c r="C11" s="24" t="str">
        <f>IF(C9&gt;=C10,"OK","Faut embaucher")</f>
        <v>OK</v>
      </c>
      <c r="D11" s="25" t="str">
        <f>IF(D9&gt;=D10,"OK","Faut embaucher")</f>
        <v>OK</v>
      </c>
      <c r="E11" s="25" t="str">
        <f>IF(E9&gt;=E10,"OK","Faut embaucher")</f>
        <v>OK</v>
      </c>
      <c r="F11" s="19" t="str">
        <f>IF(F9&gt;=F10,"OK","Faut embaucher")</f>
        <v>OK</v>
      </c>
      <c r="K11" s="37"/>
    </row>
    <row r="12" spans="2:11" x14ac:dyDescent="0.25">
      <c r="K12" s="37"/>
    </row>
    <row r="13" spans="2:11" x14ac:dyDescent="0.25">
      <c r="B13" s="168" t="s">
        <v>82</v>
      </c>
      <c r="C13" s="171"/>
      <c r="D13" s="171"/>
      <c r="E13" s="171"/>
      <c r="F13" s="171"/>
      <c r="G13" s="171"/>
      <c r="H13" s="172"/>
      <c r="K13" s="37"/>
    </row>
    <row r="14" spans="2:11" x14ac:dyDescent="0.25">
      <c r="B14" s="127" t="s">
        <v>98</v>
      </c>
      <c r="C14" s="123" t="s">
        <v>10</v>
      </c>
      <c r="D14" s="133" t="s">
        <v>11</v>
      </c>
      <c r="E14" s="133" t="s">
        <v>12</v>
      </c>
      <c r="F14" s="134" t="s">
        <v>13</v>
      </c>
      <c r="G14" s="135" t="s">
        <v>14</v>
      </c>
      <c r="H14" s="135" t="s">
        <v>15</v>
      </c>
      <c r="I14" s="41"/>
      <c r="J14" s="41"/>
      <c r="K14" s="37"/>
    </row>
    <row r="15" spans="2:11" x14ac:dyDescent="0.25">
      <c r="B15" s="135" t="s">
        <v>97</v>
      </c>
      <c r="C15" s="111">
        <v>6</v>
      </c>
      <c r="D15" s="112">
        <v>4</v>
      </c>
      <c r="E15" s="112">
        <v>6</v>
      </c>
      <c r="F15" s="113">
        <v>6</v>
      </c>
      <c r="G15" s="110">
        <f>SUM(C15:F15)</f>
        <v>22</v>
      </c>
      <c r="H15" s="109">
        <f>35-G15</f>
        <v>13</v>
      </c>
      <c r="K15" s="37"/>
    </row>
    <row r="16" spans="2:11" x14ac:dyDescent="0.25">
      <c r="B16" s="127" t="s">
        <v>38</v>
      </c>
      <c r="C16" s="114">
        <f>MAX(0,ROUNDUP(((I43*100+I44*3+I45*2)+0.75*(I43*100)+0.75*(I44*3)+0.75*(I45*2))/60000,0)-C15)</f>
        <v>5</v>
      </c>
      <c r="D16" s="115">
        <f>MAX(0,ROUNDUP(SUM(G36*0.094+G37*0.156+G38*0.18)/75000,0)-D15)</f>
        <v>0</v>
      </c>
      <c r="E16" s="115">
        <f>MAX(0,ROUNDUP((G35*0.18+G36*0.094+G37*0.156+G38*0.18)/32750,0)-E15)</f>
        <v>2</v>
      </c>
      <c r="F16" s="116">
        <f>MAX(0,ROUNDUP((G34*0.512+G35*0.18+G36*0.094+G37*0.156+G38*0.18)/40000,0)-F15)</f>
        <v>0</v>
      </c>
      <c r="K16" s="37"/>
    </row>
    <row r="17" spans="2:11" x14ac:dyDescent="0.25">
      <c r="B17" s="136" t="s">
        <v>43</v>
      </c>
      <c r="C17" s="24" t="str">
        <f>IF(C15&gt;=C16,"OK","Faut en acheter "&amp;C16-C15)</f>
        <v>OK</v>
      </c>
      <c r="D17" s="25" t="str">
        <f t="shared" ref="D17:F17" si="0">IF(D15&gt;=D16,"OK","Faut en acheter "&amp;D16-D15)</f>
        <v>OK</v>
      </c>
      <c r="E17" s="25" t="str">
        <f t="shared" si="0"/>
        <v>OK</v>
      </c>
      <c r="F17" s="19" t="str">
        <f t="shared" si="0"/>
        <v>OK</v>
      </c>
    </row>
    <row r="18" spans="2:11" x14ac:dyDescent="0.25">
      <c r="K18" s="37"/>
    </row>
    <row r="19" spans="2:11" x14ac:dyDescent="0.25">
      <c r="B19" s="168" t="s">
        <v>93</v>
      </c>
      <c r="C19" s="171"/>
      <c r="D19" s="171"/>
      <c r="E19" s="171"/>
      <c r="F19" s="172"/>
      <c r="K19" s="37"/>
    </row>
    <row r="20" spans="2:11" ht="30" x14ac:dyDescent="0.25">
      <c r="B20" s="130" t="s">
        <v>84</v>
      </c>
      <c r="C20" s="131" t="s">
        <v>85</v>
      </c>
      <c r="D20" s="131" t="s">
        <v>86</v>
      </c>
      <c r="E20" s="131" t="s">
        <v>87</v>
      </c>
      <c r="F20" s="132" t="s">
        <v>88</v>
      </c>
      <c r="K20" s="37"/>
    </row>
    <row r="21" spans="2:11" x14ac:dyDescent="0.25">
      <c r="B21" s="20">
        <v>0</v>
      </c>
      <c r="C21" s="21">
        <v>0</v>
      </c>
      <c r="D21" s="21">
        <v>0</v>
      </c>
      <c r="E21" s="4">
        <v>328.37</v>
      </c>
      <c r="F21" s="5">
        <v>66808.67</v>
      </c>
    </row>
    <row r="22" spans="2:11" x14ac:dyDescent="0.25"/>
    <row r="23" spans="2:11" x14ac:dyDescent="0.25">
      <c r="B23" s="168" t="s">
        <v>99</v>
      </c>
      <c r="C23" s="171"/>
      <c r="D23" s="171"/>
      <c r="E23" s="171"/>
      <c r="F23" s="171"/>
      <c r="G23" s="171"/>
      <c r="H23" s="171"/>
      <c r="I23" s="172"/>
    </row>
    <row r="24" spans="2:11" x14ac:dyDescent="0.25">
      <c r="B24" s="127"/>
      <c r="C24" s="128" t="s">
        <v>10</v>
      </c>
      <c r="D24" s="128" t="s">
        <v>11</v>
      </c>
      <c r="E24" s="128" t="s">
        <v>12</v>
      </c>
      <c r="F24" s="129" t="s">
        <v>13</v>
      </c>
      <c r="G24" s="127" t="s">
        <v>14</v>
      </c>
      <c r="H24" s="127" t="s">
        <v>43</v>
      </c>
      <c r="I24" s="127" t="s">
        <v>50</v>
      </c>
    </row>
    <row r="25" spans="2:11" x14ac:dyDescent="0.25">
      <c r="B25" s="127" t="s">
        <v>38</v>
      </c>
      <c r="C25" s="107">
        <f>'Information - Actuel'!C15*2</f>
        <v>12</v>
      </c>
      <c r="D25" s="108">
        <f>'Information - Actuel'!D15*1</f>
        <v>4</v>
      </c>
      <c r="E25" s="108">
        <f>'Information - Actuel'!E15*3</f>
        <v>18</v>
      </c>
      <c r="F25" s="109">
        <f>'Information - Actuel'!F15*3</f>
        <v>18</v>
      </c>
      <c r="G25" s="110">
        <f>SUM(C25:F25)</f>
        <v>52</v>
      </c>
      <c r="H25" s="27" t="str">
        <f>IF(F5&gt;=G25,"Effectif Suffisant","Effectif Insuffisant")</f>
        <v>Effectif Suffisant</v>
      </c>
      <c r="I25" s="110">
        <f>G25-F5</f>
        <v>-3</v>
      </c>
    </row>
    <row r="26" spans="2:11" x14ac:dyDescent="0.25"/>
    <row r="27" spans="2:11" x14ac:dyDescent="0.25">
      <c r="B27" s="157" t="s">
        <v>21</v>
      </c>
      <c r="C27" s="159"/>
      <c r="E27" s="157" t="s">
        <v>22</v>
      </c>
      <c r="F27" s="159"/>
    </row>
    <row r="28" spans="2:11" x14ac:dyDescent="0.25">
      <c r="B28" s="124" t="s">
        <v>7</v>
      </c>
      <c r="C28" s="12">
        <v>1700</v>
      </c>
      <c r="E28" s="124" t="s">
        <v>29</v>
      </c>
      <c r="F28" s="22">
        <v>0.17</v>
      </c>
    </row>
    <row r="29" spans="2:11" x14ac:dyDescent="0.25">
      <c r="B29" s="124" t="s">
        <v>35</v>
      </c>
      <c r="C29" s="12">
        <v>1000</v>
      </c>
      <c r="E29" s="124" t="s">
        <v>36</v>
      </c>
      <c r="F29" s="22">
        <v>20000</v>
      </c>
    </row>
    <row r="30" spans="2:11" x14ac:dyDescent="0.25">
      <c r="B30" s="124" t="s">
        <v>41</v>
      </c>
      <c r="C30" s="13">
        <v>1.2E-2</v>
      </c>
    </row>
    <row r="31" spans="2:11" x14ac:dyDescent="0.25"/>
    <row r="32" spans="2:11" x14ac:dyDescent="0.25">
      <c r="B32" s="157" t="s">
        <v>91</v>
      </c>
      <c r="C32" s="158"/>
      <c r="D32" s="158"/>
      <c r="E32" s="158"/>
      <c r="F32" s="158"/>
      <c r="G32" s="158"/>
      <c r="H32" s="159"/>
    </row>
    <row r="33" spans="1:11" ht="30" x14ac:dyDescent="0.25">
      <c r="B33" s="93" t="s">
        <v>0</v>
      </c>
      <c r="C33" s="94" t="s">
        <v>63</v>
      </c>
      <c r="D33" s="93" t="s">
        <v>67</v>
      </c>
      <c r="E33" s="95" t="s">
        <v>68</v>
      </c>
      <c r="F33" s="96" t="s">
        <v>69</v>
      </c>
      <c r="G33" s="97" t="s">
        <v>70</v>
      </c>
      <c r="H33" s="98" t="s">
        <v>71</v>
      </c>
    </row>
    <row r="34" spans="1:11" x14ac:dyDescent="0.25">
      <c r="B34" s="99" t="s">
        <v>16</v>
      </c>
      <c r="C34" s="7">
        <v>290241</v>
      </c>
      <c r="D34" s="101" t="s">
        <v>74</v>
      </c>
      <c r="E34" s="1">
        <v>0</v>
      </c>
      <c r="F34" s="14">
        <v>0</v>
      </c>
      <c r="G34" s="104">
        <v>0</v>
      </c>
      <c r="H34" s="30">
        <f>F34*E34</f>
        <v>0</v>
      </c>
    </row>
    <row r="35" spans="1:11" x14ac:dyDescent="0.25">
      <c r="B35" s="93" t="s">
        <v>19</v>
      </c>
      <c r="C35" s="8">
        <v>1352646</v>
      </c>
      <c r="D35" s="102" t="s">
        <v>74</v>
      </c>
      <c r="E35" s="10">
        <v>3.8</v>
      </c>
      <c r="F35" s="17">
        <v>295000</v>
      </c>
      <c r="G35" s="105">
        <v>300000</v>
      </c>
      <c r="H35" s="31">
        <f>F35*E35</f>
        <v>1121000</v>
      </c>
    </row>
    <row r="36" spans="1:11" x14ac:dyDescent="0.25">
      <c r="B36" s="93" t="s">
        <v>30</v>
      </c>
      <c r="C36" s="8">
        <v>9983300</v>
      </c>
      <c r="D36" s="102" t="s">
        <v>76</v>
      </c>
      <c r="E36" s="1">
        <v>1.95</v>
      </c>
      <c r="F36" s="17">
        <v>1985000</v>
      </c>
      <c r="G36" s="105">
        <v>1970000</v>
      </c>
      <c r="H36" s="31">
        <f>F36*E36</f>
        <v>3870750</v>
      </c>
    </row>
    <row r="37" spans="1:11" x14ac:dyDescent="0.25">
      <c r="B37" s="93" t="s">
        <v>42</v>
      </c>
      <c r="C37" s="8">
        <v>2708999</v>
      </c>
      <c r="D37" s="102" t="s">
        <v>76</v>
      </c>
      <c r="E37" s="1">
        <v>0</v>
      </c>
      <c r="F37" s="14">
        <v>0</v>
      </c>
      <c r="G37" s="105">
        <v>0</v>
      </c>
      <c r="H37" s="31">
        <f>F37*E37</f>
        <v>0</v>
      </c>
    </row>
    <row r="38" spans="1:11" x14ac:dyDescent="0.25">
      <c r="B38" s="100" t="s">
        <v>51</v>
      </c>
      <c r="C38" s="9">
        <v>960744</v>
      </c>
      <c r="D38" s="103" t="s">
        <v>76</v>
      </c>
      <c r="E38" s="32">
        <v>0</v>
      </c>
      <c r="F38" s="15">
        <v>0</v>
      </c>
      <c r="G38" s="106">
        <v>0</v>
      </c>
      <c r="H38" s="33">
        <f>F38*E38</f>
        <v>0</v>
      </c>
    </row>
    <row r="39" spans="1:11" x14ac:dyDescent="0.25">
      <c r="H39" s="35">
        <f>SUM(H34:H38)</f>
        <v>4991750</v>
      </c>
    </row>
    <row r="40" spans="1:11" x14ac:dyDescent="0.25"/>
    <row r="41" spans="1:11" ht="30" x14ac:dyDescent="0.25">
      <c r="B41" s="58" t="s">
        <v>0</v>
      </c>
      <c r="C41" s="59" t="s">
        <v>1</v>
      </c>
      <c r="D41" s="65" t="s">
        <v>83</v>
      </c>
      <c r="E41" s="66" t="s">
        <v>2</v>
      </c>
      <c r="G41" s="148" t="s">
        <v>90</v>
      </c>
      <c r="H41" s="149"/>
      <c r="I41" s="149"/>
      <c r="J41" s="149"/>
      <c r="K41" s="150"/>
    </row>
    <row r="42" spans="1:11" x14ac:dyDescent="0.25">
      <c r="B42" s="151" t="s">
        <v>16</v>
      </c>
      <c r="C42" s="68" t="s">
        <v>17</v>
      </c>
      <c r="D42" s="69">
        <v>0.51200000000000001</v>
      </c>
      <c r="E42" s="72">
        <f>G34*D42</f>
        <v>0</v>
      </c>
      <c r="G42" s="75" t="s">
        <v>25</v>
      </c>
      <c r="H42" s="76" t="s">
        <v>26</v>
      </c>
      <c r="I42" s="80" t="s">
        <v>27</v>
      </c>
      <c r="J42" s="81" t="s">
        <v>28</v>
      </c>
      <c r="K42" s="82" t="s">
        <v>14</v>
      </c>
    </row>
    <row r="43" spans="1:11" x14ac:dyDescent="0.25">
      <c r="B43" s="153"/>
      <c r="C43" s="68" t="s">
        <v>18</v>
      </c>
      <c r="D43" s="69">
        <v>6.4000000000000001E-2</v>
      </c>
      <c r="E43" s="73">
        <f>G34*D43</f>
        <v>0</v>
      </c>
      <c r="G43" s="38" t="s">
        <v>33</v>
      </c>
      <c r="H43" s="77" t="s">
        <v>34</v>
      </c>
      <c r="I43" s="83">
        <f>IF(MAX(ROUNDUP(E44/D58, 0), ROUNDUP((E46+E48+E52)/D59, 0))-B21 &lt;= 0,0,MAX(ROUNDUP(E44/D58, 0), ROUNDUP((E46+E48+E52)/D59, 0))-B21)</f>
        <v>3600</v>
      </c>
      <c r="J43" s="85">
        <v>226.85</v>
      </c>
      <c r="K43" s="86">
        <f>I43*J43</f>
        <v>816660</v>
      </c>
    </row>
    <row r="44" spans="1:11" x14ac:dyDescent="0.25">
      <c r="B44" s="151" t="s">
        <v>19</v>
      </c>
      <c r="C44" s="60" t="s">
        <v>20</v>
      </c>
      <c r="D44" s="70">
        <v>0.18</v>
      </c>
      <c r="E44" s="72">
        <f>G35*D44</f>
        <v>54000</v>
      </c>
      <c r="G44" s="39" t="s">
        <v>39</v>
      </c>
      <c r="H44" s="78" t="s">
        <v>40</v>
      </c>
      <c r="I44" s="18">
        <f>IF(MAX(ROUNDUP(E42/D60, 0), ROUNDUP(E49/D61, 0))-C21 &lt;= 0,0,MAX(ROUNDUP(E42/D60, 0), ROUNDUP(E49/D61, 0))-C21)</f>
        <v>0</v>
      </c>
      <c r="J44" s="87">
        <v>6.38</v>
      </c>
      <c r="K44" s="88">
        <f>I44*J44</f>
        <v>0</v>
      </c>
    </row>
    <row r="45" spans="1:11" x14ac:dyDescent="0.25">
      <c r="B45" s="153"/>
      <c r="C45" s="63" t="s">
        <v>18</v>
      </c>
      <c r="D45" s="71">
        <v>7.2999999999999995E-2</v>
      </c>
      <c r="E45" s="74">
        <f>G35*D45</f>
        <v>21900</v>
      </c>
      <c r="G45" s="39" t="s">
        <v>44</v>
      </c>
      <c r="H45" s="78" t="s">
        <v>45</v>
      </c>
      <c r="I45" s="18">
        <f>IF(MAX(ROUNDUP(E53/D62, 0), ROUNDUP((E54+E50)/D63, 0))-D21 &lt;= 0,0,MAX(ROUNDUP(E53/D62, 0), ROUNDUP((E54+E50)/D63, 0))-D21)</f>
        <v>0</v>
      </c>
      <c r="J45" s="87">
        <v>14.26</v>
      </c>
      <c r="K45" s="88">
        <f>I45*J45</f>
        <v>0</v>
      </c>
    </row>
    <row r="46" spans="1:11" x14ac:dyDescent="0.25">
      <c r="B46" s="151" t="s">
        <v>30</v>
      </c>
      <c r="C46" s="60" t="s">
        <v>31</v>
      </c>
      <c r="D46" s="70">
        <v>9.4E-2</v>
      </c>
      <c r="E46" s="73">
        <f>G36*D46</f>
        <v>185180</v>
      </c>
      <c r="G46" s="39" t="s">
        <v>18</v>
      </c>
      <c r="H46" s="78" t="s">
        <v>47</v>
      </c>
      <c r="I46" s="18">
        <f>IF(MAX(ROUNDUP((E43+E45+E55)/D64, 0))-E21 &lt;= 0,0,MAX(ROUNDUP((E43+E45+E55)/D64, 0))-E21)</f>
        <v>109.63</v>
      </c>
      <c r="J46" s="87">
        <v>306.02</v>
      </c>
      <c r="K46" s="88">
        <f>I46*J46</f>
        <v>33548.972599999994</v>
      </c>
    </row>
    <row r="47" spans="1:11" x14ac:dyDescent="0.25">
      <c r="A47" s="11"/>
      <c r="B47" s="153"/>
      <c r="C47" s="63" t="s">
        <v>37</v>
      </c>
      <c r="D47" s="71">
        <v>0.03</v>
      </c>
      <c r="E47" s="73">
        <f>G36*D47</f>
        <v>59100</v>
      </c>
      <c r="G47" s="40" t="s">
        <v>37</v>
      </c>
      <c r="H47" s="79" t="s">
        <v>49</v>
      </c>
      <c r="I47" s="84">
        <f>IF(MAX(ROUNDUP((E47+E51)/D65, 0))-F21 &lt;= 0,0,MAX(ROUNDUP((E47+E51)/D65, 0))-F21)</f>
        <v>0</v>
      </c>
      <c r="J47" s="89">
        <v>146.16</v>
      </c>
      <c r="K47" s="90">
        <f>I47*J47</f>
        <v>0</v>
      </c>
    </row>
    <row r="48" spans="1:11" x14ac:dyDescent="0.25">
      <c r="B48" s="151" t="s">
        <v>42</v>
      </c>
      <c r="C48" s="60" t="s">
        <v>31</v>
      </c>
      <c r="D48" s="70">
        <v>0.10100000000000001</v>
      </c>
      <c r="E48" s="72">
        <f>G37*D48</f>
        <v>0</v>
      </c>
      <c r="G48" s="2"/>
      <c r="H48" s="2"/>
      <c r="I48" s="2"/>
      <c r="J48" s="91"/>
      <c r="K48" s="92">
        <f>SUM(K43:K47)</f>
        <v>850208.97259999998</v>
      </c>
    </row>
    <row r="49" spans="2:6" x14ac:dyDescent="0.25">
      <c r="B49" s="152"/>
      <c r="C49" s="68" t="s">
        <v>46</v>
      </c>
      <c r="D49" s="69">
        <v>0.03</v>
      </c>
      <c r="E49" s="73">
        <f>G37*D49</f>
        <v>0</v>
      </c>
    </row>
    <row r="50" spans="2:6" x14ac:dyDescent="0.25">
      <c r="B50" s="152"/>
      <c r="C50" s="68" t="s">
        <v>48</v>
      </c>
      <c r="D50" s="69">
        <v>0.02</v>
      </c>
      <c r="E50" s="73">
        <f>G37*D50</f>
        <v>0</v>
      </c>
    </row>
    <row r="51" spans="2:6" x14ac:dyDescent="0.25">
      <c r="B51" s="153"/>
      <c r="C51" s="63" t="s">
        <v>37</v>
      </c>
      <c r="D51" s="71">
        <v>0.08</v>
      </c>
      <c r="E51" s="74">
        <f>G37*D51</f>
        <v>0</v>
      </c>
    </row>
    <row r="52" spans="2:6" x14ac:dyDescent="0.25">
      <c r="B52" s="151" t="s">
        <v>51</v>
      </c>
      <c r="C52" s="60" t="s">
        <v>31</v>
      </c>
      <c r="D52" s="70">
        <v>0.08</v>
      </c>
      <c r="E52" s="73">
        <f>G38*D52</f>
        <v>0</v>
      </c>
    </row>
    <row r="53" spans="2:6" x14ac:dyDescent="0.25">
      <c r="B53" s="152"/>
      <c r="C53" s="68" t="s">
        <v>52</v>
      </c>
      <c r="D53" s="69">
        <v>4.4999999999999998E-2</v>
      </c>
      <c r="E53" s="73">
        <f>G38*D53</f>
        <v>0</v>
      </c>
    </row>
    <row r="54" spans="2:6" x14ac:dyDescent="0.25">
      <c r="B54" s="152"/>
      <c r="C54" s="68" t="s">
        <v>48</v>
      </c>
      <c r="D54" s="69">
        <v>0.04</v>
      </c>
      <c r="E54" s="73">
        <f>G38*D54</f>
        <v>0</v>
      </c>
    </row>
    <row r="55" spans="2:6" x14ac:dyDescent="0.25">
      <c r="B55" s="153"/>
      <c r="C55" s="63" t="s">
        <v>18</v>
      </c>
      <c r="D55" s="71">
        <v>5.6000000000000001E-2</v>
      </c>
      <c r="E55" s="74">
        <f>G38*D55</f>
        <v>0</v>
      </c>
    </row>
    <row r="56" spans="2:6" x14ac:dyDescent="0.25"/>
    <row r="57" spans="2:6" ht="45" x14ac:dyDescent="0.25">
      <c r="B57" s="58" t="s">
        <v>59</v>
      </c>
      <c r="C57" s="59" t="s">
        <v>1</v>
      </c>
      <c r="D57" s="65" t="s">
        <v>60</v>
      </c>
      <c r="E57" s="66" t="s">
        <v>95</v>
      </c>
      <c r="F57" s="67" t="s">
        <v>96</v>
      </c>
    </row>
    <row r="58" spans="2:6" x14ac:dyDescent="0.25">
      <c r="B58" s="151" t="s">
        <v>64</v>
      </c>
      <c r="C58" s="60" t="s">
        <v>20</v>
      </c>
      <c r="D58" s="28">
        <v>15</v>
      </c>
      <c r="E58" s="55">
        <f>I43 * D58 - (E44)</f>
        <v>0</v>
      </c>
      <c r="F58" s="160">
        <f>IF(E59&gt;E58,INT(E59/D59),INT(E58/D58))</f>
        <v>613</v>
      </c>
    </row>
    <row r="59" spans="2:6" x14ac:dyDescent="0.25">
      <c r="B59" s="153"/>
      <c r="C59" s="61" t="s">
        <v>31</v>
      </c>
      <c r="D59" s="43">
        <v>62</v>
      </c>
      <c r="E59" s="56">
        <f>I43 * D59 - (E46 + E48 + E52)</f>
        <v>38020</v>
      </c>
      <c r="F59" s="161"/>
    </row>
    <row r="60" spans="2:6" x14ac:dyDescent="0.25">
      <c r="B60" s="151" t="s">
        <v>75</v>
      </c>
      <c r="C60" s="60" t="s">
        <v>17</v>
      </c>
      <c r="D60" s="28">
        <v>0.64</v>
      </c>
      <c r="E60" s="57">
        <f>I44 * D60 - (E42)</f>
        <v>0</v>
      </c>
      <c r="F60" s="160">
        <f>IF(E61&gt;E60,INT(E61/D61),INT(E60/D60))</f>
        <v>0</v>
      </c>
    </row>
    <row r="61" spans="2:6" x14ac:dyDescent="0.25">
      <c r="B61" s="153"/>
      <c r="C61" s="61" t="s">
        <v>46</v>
      </c>
      <c r="D61" s="43">
        <v>0.62</v>
      </c>
      <c r="E61" s="57">
        <f>I44 * D61 - (E49)</f>
        <v>0</v>
      </c>
      <c r="F61" s="161"/>
    </row>
    <row r="62" spans="2:6" x14ac:dyDescent="0.25">
      <c r="B62" s="151" t="s">
        <v>77</v>
      </c>
      <c r="C62" s="62" t="s">
        <v>52</v>
      </c>
      <c r="D62" s="44">
        <v>0.42</v>
      </c>
      <c r="E62" s="55">
        <f>I45 * D62 - (E53)</f>
        <v>0</v>
      </c>
      <c r="F62" s="160">
        <f>IF(E63&gt;E62,INT(E63/D63),INT(E62/D62))</f>
        <v>0</v>
      </c>
    </row>
    <row r="63" spans="2:6" x14ac:dyDescent="0.25">
      <c r="B63" s="153"/>
      <c r="C63" s="63" t="s">
        <v>48</v>
      </c>
      <c r="D63" s="29">
        <v>1.62</v>
      </c>
      <c r="E63" s="56">
        <f>I45 * D63 - (E50+E54)</f>
        <v>0</v>
      </c>
      <c r="F63" s="161"/>
    </row>
    <row r="64" spans="2:6" ht="30" x14ac:dyDescent="0.25">
      <c r="B64" s="122" t="s">
        <v>78</v>
      </c>
      <c r="C64" s="64" t="s">
        <v>18</v>
      </c>
      <c r="D64" s="34">
        <v>50</v>
      </c>
    </row>
    <row r="65" spans="2:10" x14ac:dyDescent="0.25">
      <c r="B65" s="123" t="s">
        <v>80</v>
      </c>
      <c r="C65" s="63" t="s">
        <v>37</v>
      </c>
      <c r="D65" s="36">
        <v>60</v>
      </c>
    </row>
    <row r="66" spans="2:10" x14ac:dyDescent="0.25"/>
    <row r="67" spans="2:10" x14ac:dyDescent="0.25">
      <c r="B67" s="157" t="s">
        <v>53</v>
      </c>
      <c r="C67" s="158"/>
      <c r="D67" s="158"/>
      <c r="E67" s="158"/>
      <c r="F67" s="158"/>
      <c r="G67" s="159"/>
      <c r="I67" s="66" t="s">
        <v>23</v>
      </c>
      <c r="J67" s="120" t="s">
        <v>89</v>
      </c>
    </row>
    <row r="68" spans="2:10" x14ac:dyDescent="0.25">
      <c r="B68" s="124" t="s">
        <v>0</v>
      </c>
      <c r="C68" s="162" t="s">
        <v>54</v>
      </c>
      <c r="D68" s="163"/>
      <c r="E68" s="164"/>
      <c r="F68" s="125" t="s">
        <v>55</v>
      </c>
      <c r="G68" s="124" t="s">
        <v>28</v>
      </c>
      <c r="I68" s="23">
        <f>SUM(H34:H38)</f>
        <v>4991750</v>
      </c>
      <c r="J68" s="26">
        <f>(B5*2100+C5*3600+(D5*C29+I68*(C30/100)+E5*1800+F5*C28+G5*1700+H5*18000))+(C15*4000+D15*3000+E15*8000+F15*7500)+(G77)+(K48)+(F29)</f>
        <v>1437907.9826</v>
      </c>
    </row>
    <row r="69" spans="2:10" ht="30" x14ac:dyDescent="0.25">
      <c r="B69" s="49" t="s">
        <v>19</v>
      </c>
      <c r="C69" s="49" t="s">
        <v>56</v>
      </c>
      <c r="D69" s="50" t="s">
        <v>57</v>
      </c>
      <c r="E69" s="49" t="s">
        <v>58</v>
      </c>
      <c r="F69" s="8">
        <v>1</v>
      </c>
      <c r="G69" s="45">
        <v>27800</v>
      </c>
    </row>
    <row r="70" spans="2:10" x14ac:dyDescent="0.25">
      <c r="B70" s="49" t="s">
        <v>19</v>
      </c>
      <c r="C70" s="49" t="s">
        <v>61</v>
      </c>
      <c r="D70" s="50" t="s">
        <v>62</v>
      </c>
      <c r="E70" s="49" t="s">
        <v>58</v>
      </c>
      <c r="F70" s="8">
        <v>1</v>
      </c>
      <c r="G70" s="45">
        <v>34000</v>
      </c>
    </row>
    <row r="71" spans="2:10" ht="30" x14ac:dyDescent="0.25">
      <c r="B71" s="49" t="s">
        <v>19</v>
      </c>
      <c r="C71" s="49" t="s">
        <v>61</v>
      </c>
      <c r="D71" s="50" t="s">
        <v>65</v>
      </c>
      <c r="E71" s="49" t="s">
        <v>66</v>
      </c>
      <c r="F71" s="8">
        <v>3</v>
      </c>
      <c r="G71" s="45">
        <v>44000</v>
      </c>
    </row>
    <row r="72" spans="2:10" ht="30" x14ac:dyDescent="0.25">
      <c r="B72" s="49" t="s">
        <v>30</v>
      </c>
      <c r="C72" s="49" t="s">
        <v>61</v>
      </c>
      <c r="D72" s="50" t="s">
        <v>72</v>
      </c>
      <c r="E72" s="49" t="s">
        <v>73</v>
      </c>
      <c r="F72" s="8">
        <v>2</v>
      </c>
      <c r="G72" s="45">
        <v>38000</v>
      </c>
    </row>
    <row r="73" spans="2:10" x14ac:dyDescent="0.25">
      <c r="B73" s="51"/>
      <c r="C73" s="51"/>
      <c r="D73" s="52"/>
      <c r="E73" s="51"/>
      <c r="F73" s="48"/>
      <c r="G73" s="46"/>
    </row>
    <row r="74" spans="2:10" x14ac:dyDescent="0.25">
      <c r="B74" s="51"/>
      <c r="C74" s="51"/>
      <c r="D74" s="52"/>
      <c r="E74" s="51"/>
      <c r="F74" s="48"/>
      <c r="G74" s="46"/>
    </row>
    <row r="75" spans="2:10" x14ac:dyDescent="0.25">
      <c r="B75" s="51"/>
      <c r="C75" s="51"/>
      <c r="D75" s="52"/>
      <c r="E75" s="51"/>
      <c r="F75" s="48"/>
      <c r="G75" s="46"/>
    </row>
    <row r="76" spans="2:10" x14ac:dyDescent="0.25">
      <c r="B76" s="53"/>
      <c r="C76" s="53"/>
      <c r="D76" s="54"/>
      <c r="E76" s="53"/>
      <c r="F76" s="48"/>
      <c r="G76" s="47"/>
    </row>
    <row r="77" spans="2:10" x14ac:dyDescent="0.25">
      <c r="B77" s="6"/>
      <c r="C77" s="6"/>
      <c r="D77" s="154" t="s">
        <v>79</v>
      </c>
      <c r="E77" s="155"/>
      <c r="F77" s="156"/>
      <c r="G77" s="16">
        <f>(F69*G69)+(F70*G70)+(F71*G71)+(F72*G72)+(F73*G73)+(F74*G74)+(F75*G75)+(F76*G76)</f>
        <v>269800</v>
      </c>
    </row>
    <row r="78" spans="2:10" x14ac:dyDescent="0.25"/>
    <row r="79" spans="2:10" x14ac:dyDescent="0.25"/>
    <row r="80" spans="2:1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</sheetData>
  <mergeCells count="26">
    <mergeCell ref="B32:H32"/>
    <mergeCell ref="B13:H13"/>
    <mergeCell ref="B23:I23"/>
    <mergeCell ref="B27:C27"/>
    <mergeCell ref="E27:F27"/>
    <mergeCell ref="B19:F19"/>
    <mergeCell ref="I4:J4"/>
    <mergeCell ref="B1:I1"/>
    <mergeCell ref="G9:I10"/>
    <mergeCell ref="B3:H3"/>
    <mergeCell ref="B7:F7"/>
    <mergeCell ref="D77:F77"/>
    <mergeCell ref="B67:G67"/>
    <mergeCell ref="F62:F63"/>
    <mergeCell ref="B58:B59"/>
    <mergeCell ref="B60:B61"/>
    <mergeCell ref="B62:B63"/>
    <mergeCell ref="C68:E68"/>
    <mergeCell ref="F58:F59"/>
    <mergeCell ref="F60:F61"/>
    <mergeCell ref="G41:K41"/>
    <mergeCell ref="B52:B55"/>
    <mergeCell ref="B48:B51"/>
    <mergeCell ref="B46:B47"/>
    <mergeCell ref="B44:B45"/>
    <mergeCell ref="B42:B43"/>
  </mergeCells>
  <conditionalFormatting sqref="C11:F11">
    <cfRule type="cellIs" dxfId="19" priority="11" operator="equal">
      <formula>"Faut embaucher"</formula>
    </cfRule>
    <cfRule type="cellIs" dxfId="18" priority="12" operator="equal">
      <formula>"OK"</formula>
    </cfRule>
  </conditionalFormatting>
  <conditionalFormatting sqref="C17:F17">
    <cfRule type="cellIs" dxfId="17" priority="3" operator="notEqual">
      <formula>"OK"</formula>
    </cfRule>
    <cfRule type="cellIs" dxfId="16" priority="4" operator="equal">
      <formula>"OK"</formula>
    </cfRule>
  </conditionalFormatting>
  <conditionalFormatting sqref="H15">
    <cfRule type="cellIs" dxfId="15" priority="7" operator="lessThan">
      <formula>0</formula>
    </cfRule>
    <cfRule type="cellIs" dxfId="14" priority="8" operator="equal">
      <formula>0</formula>
    </cfRule>
  </conditionalFormatting>
  <conditionalFormatting sqref="H25">
    <cfRule type="cellIs" dxfId="13" priority="9" operator="equal">
      <formula>"Effectif Insuffisant"</formula>
    </cfRule>
    <cfRule type="cellIs" dxfId="12" priority="10" operator="equal">
      <formula>"Effectif Suffisant"</formula>
    </cfRule>
  </conditionalFormatting>
  <conditionalFormatting sqref="E58:F63">
    <cfRule type="cellIs" dxfId="11" priority="2" operator="greaterThan">
      <formula>0</formula>
    </cfRule>
  </conditionalFormatting>
  <conditionalFormatting sqref="E42:E43 E48:E55">
    <cfRule type="cellIs" dxfId="10" priority="1" operator="greaterThan">
      <formula>0</formula>
    </cfRule>
  </conditionalFormatting>
  <pageMargins left="0.7" right="0.7" top="0.75" bottom="0.75" header="0.3" footer="0.3"/>
  <pageSetup paperSize="9" scale="4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EE271-0276-492C-829A-EBE4166CC6E8}">
  <sheetPr codeName="Feuil1">
    <tabColor theme="8" tint="0.59999389629810485"/>
  </sheetPr>
  <dimension ref="B1:X19"/>
  <sheetViews>
    <sheetView tabSelected="1" workbookViewId="0">
      <selection activeCell="E8" sqref="E8"/>
    </sheetView>
  </sheetViews>
  <sheetFormatPr baseColWidth="10" defaultColWidth="0" defaultRowHeight="15" zeroHeight="1" x14ac:dyDescent="0.25"/>
  <cols>
    <col min="1" max="3" width="11.42578125" customWidth="1"/>
    <col min="4" max="4" width="13.140625" customWidth="1"/>
    <col min="5" max="6" width="11.42578125" customWidth="1"/>
    <col min="7" max="7" width="21.28515625" bestFit="1" customWidth="1"/>
    <col min="8" max="13" width="11.42578125" customWidth="1"/>
    <col min="14" max="14" width="8" bestFit="1" customWidth="1"/>
    <col min="15" max="15" width="21.28515625" bestFit="1" customWidth="1"/>
    <col min="16" max="18" width="11.42578125" customWidth="1"/>
    <col min="19" max="19" width="16.7109375" bestFit="1" customWidth="1"/>
    <col min="20" max="20" width="11.42578125" hidden="1"/>
    <col min="21" max="21" width="12.140625" hidden="1"/>
    <col min="22" max="23" width="11.42578125" hidden="1"/>
    <col min="24" max="24" width="21.28515625" hidden="1"/>
    <col min="25" max="16384" width="11.42578125" hidden="1"/>
  </cols>
  <sheetData>
    <row r="1" spans="2:18" x14ac:dyDescent="0.25"/>
    <row r="2" spans="2:18" x14ac:dyDescent="0.25">
      <c r="B2" s="157" t="s">
        <v>91</v>
      </c>
      <c r="C2" s="158"/>
      <c r="D2" s="158"/>
      <c r="E2" s="158"/>
      <c r="F2" s="158"/>
      <c r="G2" s="159"/>
      <c r="I2" s="157" t="s">
        <v>53</v>
      </c>
      <c r="J2" s="158"/>
      <c r="K2" s="158"/>
      <c r="L2" s="158"/>
      <c r="M2" s="158"/>
      <c r="N2" s="159"/>
      <c r="Q2" s="157" t="s">
        <v>21</v>
      </c>
      <c r="R2" s="159"/>
    </row>
    <row r="3" spans="2:18" ht="30" x14ac:dyDescent="0.25">
      <c r="B3" s="139" t="s">
        <v>0</v>
      </c>
      <c r="C3" s="94" t="s">
        <v>63</v>
      </c>
      <c r="D3" s="93" t="s">
        <v>67</v>
      </c>
      <c r="E3" s="95" t="s">
        <v>68</v>
      </c>
      <c r="F3" s="188" t="s">
        <v>69</v>
      </c>
      <c r="G3" s="140" t="s">
        <v>70</v>
      </c>
      <c r="I3" s="121" t="s">
        <v>0</v>
      </c>
      <c r="J3" s="174" t="s">
        <v>54</v>
      </c>
      <c r="K3" s="175"/>
      <c r="L3" s="176"/>
      <c r="M3" s="144" t="s">
        <v>55</v>
      </c>
      <c r="N3" s="121" t="s">
        <v>28</v>
      </c>
      <c r="Q3" s="124" t="s">
        <v>7</v>
      </c>
      <c r="R3" s="12"/>
    </row>
    <row r="4" spans="2:18" ht="30" x14ac:dyDescent="0.25">
      <c r="B4" s="187" t="s">
        <v>16</v>
      </c>
      <c r="C4" s="193"/>
      <c r="D4" s="190" t="s">
        <v>74</v>
      </c>
      <c r="E4" s="1"/>
      <c r="F4" s="197"/>
      <c r="G4" s="146"/>
      <c r="I4" s="145"/>
      <c r="J4" s="145"/>
      <c r="K4" s="145"/>
      <c r="L4" s="145"/>
      <c r="M4" s="145"/>
      <c r="N4" s="145"/>
      <c r="Q4" s="124" t="s">
        <v>35</v>
      </c>
      <c r="R4" s="12"/>
    </row>
    <row r="5" spans="2:18" ht="30" x14ac:dyDescent="0.25">
      <c r="B5" s="188" t="s">
        <v>19</v>
      </c>
      <c r="C5" s="194"/>
      <c r="D5" s="191" t="s">
        <v>74</v>
      </c>
      <c r="E5" s="10"/>
      <c r="F5" s="14"/>
      <c r="G5" s="196"/>
      <c r="I5" s="177"/>
      <c r="J5" s="177"/>
      <c r="K5" s="177"/>
      <c r="L5" s="177"/>
      <c r="M5" s="177"/>
      <c r="N5" s="177"/>
      <c r="Q5" s="124" t="s">
        <v>41</v>
      </c>
      <c r="R5" s="13"/>
    </row>
    <row r="6" spans="2:18" ht="30" x14ac:dyDescent="0.25">
      <c r="B6" s="188" t="s">
        <v>30</v>
      </c>
      <c r="C6" s="194"/>
      <c r="D6" s="191" t="s">
        <v>76</v>
      </c>
      <c r="E6" s="1"/>
      <c r="F6" s="14"/>
      <c r="G6" s="196"/>
      <c r="I6" s="177"/>
      <c r="J6" s="177"/>
      <c r="K6" s="177"/>
      <c r="L6" s="177"/>
      <c r="M6" s="177"/>
      <c r="N6" s="177"/>
    </row>
    <row r="7" spans="2:18" ht="30" x14ac:dyDescent="0.25">
      <c r="B7" s="188" t="s">
        <v>42</v>
      </c>
      <c r="C7" s="194"/>
      <c r="D7" s="191" t="s">
        <v>76</v>
      </c>
      <c r="E7" s="1"/>
      <c r="F7" s="14"/>
      <c r="G7" s="196"/>
      <c r="I7" s="177"/>
      <c r="J7" s="177"/>
      <c r="K7" s="177"/>
      <c r="L7" s="177"/>
      <c r="M7" s="177"/>
      <c r="N7" s="177"/>
    </row>
    <row r="8" spans="2:18" ht="30" x14ac:dyDescent="0.25">
      <c r="B8" s="189" t="s">
        <v>51</v>
      </c>
      <c r="C8" s="195"/>
      <c r="D8" s="192" t="s">
        <v>76</v>
      </c>
      <c r="E8" s="141"/>
      <c r="F8" s="15"/>
      <c r="G8" s="147"/>
      <c r="I8" s="177"/>
      <c r="J8" s="177"/>
      <c r="K8" s="177"/>
      <c r="L8" s="177"/>
      <c r="M8" s="177"/>
      <c r="N8" s="177"/>
      <c r="Q8" s="157" t="s">
        <v>22</v>
      </c>
      <c r="R8" s="159"/>
    </row>
    <row r="9" spans="2:18" x14ac:dyDescent="0.25">
      <c r="I9" s="177"/>
      <c r="J9" s="177"/>
      <c r="K9" s="177"/>
      <c r="L9" s="177"/>
      <c r="M9" s="177"/>
      <c r="N9" s="177"/>
      <c r="Q9" s="124" t="s">
        <v>29</v>
      </c>
      <c r="R9" s="22"/>
    </row>
    <row r="10" spans="2:18" ht="30" x14ac:dyDescent="0.25">
      <c r="I10" s="177"/>
      <c r="J10" s="177"/>
      <c r="K10" s="177"/>
      <c r="L10" s="177"/>
      <c r="M10" s="177"/>
      <c r="N10" s="177"/>
      <c r="Q10" s="124" t="s">
        <v>36</v>
      </c>
      <c r="R10" s="22"/>
    </row>
    <row r="11" spans="2:18" x14ac:dyDescent="0.25">
      <c r="C11" s="173" t="s">
        <v>100</v>
      </c>
      <c r="D11" s="173"/>
      <c r="E11" s="173"/>
      <c r="I11" s="177"/>
      <c r="J11" s="177"/>
      <c r="K11" s="177"/>
      <c r="L11" s="177"/>
      <c r="M11" s="177"/>
      <c r="N11" s="177"/>
    </row>
    <row r="12" spans="2:18" x14ac:dyDescent="0.25">
      <c r="I12" s="177"/>
      <c r="J12" s="177"/>
      <c r="K12" s="177"/>
      <c r="L12" s="177"/>
      <c r="M12" s="177"/>
      <c r="N12" s="177"/>
    </row>
    <row r="13" spans="2:18" s="179" customFormat="1" hidden="1" x14ac:dyDescent="0.25">
      <c r="I13" s="180"/>
      <c r="J13" s="180"/>
      <c r="K13" s="180"/>
      <c r="L13" s="180"/>
      <c r="M13" s="180"/>
      <c r="N13" s="180"/>
    </row>
    <row r="14" spans="2:18" hidden="1" x14ac:dyDescent="0.25">
      <c r="I14" s="177"/>
      <c r="J14" s="177"/>
      <c r="K14" s="177"/>
      <c r="L14" s="177"/>
      <c r="M14" s="177"/>
      <c r="N14" s="177"/>
    </row>
    <row r="15" spans="2:18" hidden="1" x14ac:dyDescent="0.25">
      <c r="I15" s="177"/>
      <c r="J15" s="177"/>
      <c r="K15" s="177"/>
      <c r="L15" s="177"/>
      <c r="M15" s="177"/>
      <c r="N15" s="177"/>
    </row>
    <row r="16" spans="2:18" hidden="1" x14ac:dyDescent="0.25">
      <c r="I16" s="177"/>
      <c r="J16" s="177"/>
      <c r="K16" s="177"/>
      <c r="L16" s="177"/>
      <c r="M16" s="177"/>
      <c r="N16" s="177"/>
    </row>
    <row r="17" spans="9:14" hidden="1" x14ac:dyDescent="0.25">
      <c r="I17" s="177"/>
      <c r="J17" s="177"/>
      <c r="K17" s="177"/>
      <c r="L17" s="177"/>
      <c r="M17" s="177"/>
      <c r="N17" s="177"/>
    </row>
    <row r="18" spans="9:14" hidden="1" x14ac:dyDescent="0.25">
      <c r="I18" s="177"/>
      <c r="J18" s="177"/>
      <c r="K18" s="177"/>
      <c r="L18" s="177"/>
      <c r="M18" s="177"/>
      <c r="N18" s="177"/>
    </row>
    <row r="19" spans="9:14" hidden="1" x14ac:dyDescent="0.25">
      <c r="I19" s="177"/>
      <c r="J19" s="177"/>
      <c r="K19" s="177"/>
      <c r="L19" s="177"/>
      <c r="M19" s="177"/>
      <c r="N19" s="177"/>
    </row>
  </sheetData>
  <mergeCells count="6">
    <mergeCell ref="I2:N2"/>
    <mergeCell ref="J3:L3"/>
    <mergeCell ref="Q2:R2"/>
    <mergeCell ref="Q8:R8"/>
    <mergeCell ref="B2:G2"/>
    <mergeCell ref="C11:E1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AjoutPub">
                <anchor moveWithCells="1" sizeWithCells="1">
                  <from>
                    <xdr:col>14</xdr:col>
                    <xdr:colOff>0</xdr:colOff>
                    <xdr:row>2</xdr:row>
                    <xdr:rowOff>371475</xdr:rowOff>
                  </from>
                  <to>
                    <xdr:col>15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ReinitialiserPub">
                <anchor moveWithCells="1" sizeWithCells="1">
                  <from>
                    <xdr:col>14</xdr:col>
                    <xdr:colOff>0</xdr:colOff>
                    <xdr:row>1</xdr:row>
                    <xdr:rowOff>180975</xdr:rowOff>
                  </from>
                  <to>
                    <xdr:col>15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ValiderEtDupliquerFeuille">
                <anchor moveWithCells="1" sizeWithCells="1">
                  <from>
                    <xdr:col>0</xdr:col>
                    <xdr:colOff>752475</xdr:colOff>
                    <xdr:row>10</xdr:row>
                    <xdr:rowOff>9525</xdr:rowOff>
                  </from>
                  <to>
                    <xdr:col>1</xdr:col>
                    <xdr:colOff>752475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EDA9A-1E9D-4F57-80FF-6821EAC49F31}">
  <sheetPr codeName="Feuil4">
    <tabColor theme="8" tint="0.79998168889431442"/>
  </sheetPr>
  <dimension ref="A1:AK100"/>
  <sheetViews>
    <sheetView topLeftCell="A67" zoomScaleNormal="100" workbookViewId="0">
      <selection activeCell="C98" sqref="C98"/>
    </sheetView>
  </sheetViews>
  <sheetFormatPr baseColWidth="10" defaultColWidth="0" defaultRowHeight="15" customHeight="1" zeroHeight="1" x14ac:dyDescent="0.25"/>
  <cols>
    <col min="1" max="1" width="9.140625" style="3" customWidth="1"/>
    <col min="2" max="2" width="22.42578125" style="3" bestFit="1" customWidth="1"/>
    <col min="3" max="3" width="18.42578125" style="3" bestFit="1" customWidth="1"/>
    <col min="4" max="4" width="15.42578125" style="3" bestFit="1" customWidth="1"/>
    <col min="5" max="5" width="12.42578125" style="3" bestFit="1" customWidth="1"/>
    <col min="6" max="6" width="20.140625" style="3" bestFit="1" customWidth="1"/>
    <col min="7" max="7" width="21.28515625" style="3" bestFit="1" customWidth="1"/>
    <col min="8" max="8" width="15.7109375" style="3" bestFit="1" customWidth="1"/>
    <col min="9" max="9" width="19.7109375" style="3" bestFit="1" customWidth="1"/>
    <col min="10" max="10" width="12.85546875" style="3" bestFit="1" customWidth="1"/>
    <col min="11" max="11" width="11.42578125" style="3" bestFit="1" customWidth="1"/>
    <col min="12" max="12" width="11.85546875" style="3" bestFit="1" customWidth="1"/>
    <col min="13" max="13" width="17.28515625" style="3" customWidth="1"/>
    <col min="14" max="14" width="36" style="3" customWidth="1"/>
    <col min="15" max="15" width="29.7109375" style="3" bestFit="1" customWidth="1"/>
    <col min="16" max="16" width="3" style="142" customWidth="1"/>
    <col min="17" max="17" width="16.7109375" style="3" hidden="1" customWidth="1"/>
    <col min="18" max="18" width="16.5703125" style="3" hidden="1" customWidth="1"/>
    <col min="19" max="19" width="12.85546875" style="3" hidden="1" customWidth="1"/>
    <col min="20" max="20" width="17.5703125" style="3" hidden="1" customWidth="1"/>
    <col min="21" max="21" width="24.28515625" style="3" hidden="1" customWidth="1"/>
    <col min="22" max="22" width="8.140625" style="3" hidden="1" customWidth="1"/>
    <col min="23" max="24" width="9.140625" style="3" hidden="1" customWidth="1"/>
    <col min="25" max="26" width="11.42578125" style="3" hidden="1" customWidth="1"/>
    <col min="27" max="29" width="9.140625" style="3" hidden="1" customWidth="1"/>
    <col min="30" max="30" width="9.7109375" style="3" hidden="1" customWidth="1"/>
    <col min="31" max="31" width="9.140625" style="3" hidden="1" customWidth="1"/>
    <col min="32" max="32" width="13.42578125" style="3" hidden="1" customWidth="1"/>
    <col min="33" max="34" width="9.140625" style="3" hidden="1" customWidth="1"/>
    <col min="35" max="35" width="12" style="3" hidden="1" customWidth="1"/>
    <col min="36" max="36" width="9.140625" style="3" hidden="1" customWidth="1"/>
    <col min="37" max="37" width="15.7109375" style="3" hidden="1" customWidth="1"/>
    <col min="38" max="16384" width="9.140625" style="3" hidden="1"/>
  </cols>
  <sheetData>
    <row r="1" spans="2:16" s="42" customFormat="1" ht="36" x14ac:dyDescent="0.25">
      <c r="B1" s="167" t="s">
        <v>101</v>
      </c>
      <c r="C1" s="167"/>
      <c r="D1" s="167"/>
      <c r="E1" s="167"/>
      <c r="F1" s="167"/>
      <c r="G1" s="167"/>
      <c r="H1" s="167"/>
      <c r="I1" s="167"/>
      <c r="P1" s="143"/>
    </row>
    <row r="2" spans="2:16" x14ac:dyDescent="0.25">
      <c r="B2" s="168" t="s">
        <v>81</v>
      </c>
      <c r="C2" s="171"/>
      <c r="D2" s="171"/>
      <c r="E2" s="171"/>
      <c r="F2" s="171"/>
      <c r="G2" s="171"/>
      <c r="H2" s="171"/>
      <c r="I2" s="172"/>
      <c r="K2" s="37"/>
    </row>
    <row r="3" spans="2:16" ht="30" x14ac:dyDescent="0.25">
      <c r="B3" s="184"/>
      <c r="C3" s="133" t="s">
        <v>3</v>
      </c>
      <c r="D3" s="133" t="s">
        <v>4</v>
      </c>
      <c r="E3" s="133" t="s">
        <v>5</v>
      </c>
      <c r="F3" s="133" t="s">
        <v>6</v>
      </c>
      <c r="G3" s="133" t="s">
        <v>7</v>
      </c>
      <c r="H3" s="133" t="s">
        <v>8</v>
      </c>
      <c r="I3" s="134" t="s">
        <v>9</v>
      </c>
      <c r="K3" s="37"/>
    </row>
    <row r="4" spans="2:16" x14ac:dyDescent="0.25">
      <c r="B4" s="185" t="s">
        <v>102</v>
      </c>
      <c r="C4" s="118">
        <v>11</v>
      </c>
      <c r="D4" s="118">
        <v>5</v>
      </c>
      <c r="E4" s="118">
        <v>5</v>
      </c>
      <c r="F4" s="118">
        <v>5</v>
      </c>
      <c r="G4" s="118">
        <v>55</v>
      </c>
      <c r="H4" s="118">
        <v>1</v>
      </c>
      <c r="I4" s="119">
        <v>1</v>
      </c>
      <c r="J4" s="181"/>
      <c r="K4" s="37"/>
    </row>
    <row r="5" spans="2:16" x14ac:dyDescent="0.25">
      <c r="B5" s="186" t="s">
        <v>38</v>
      </c>
      <c r="C5" s="107">
        <f>C10</f>
        <v>11</v>
      </c>
      <c r="D5" s="108">
        <f>D10</f>
        <v>3</v>
      </c>
      <c r="E5" s="108">
        <f>E4</f>
        <v>5</v>
      </c>
      <c r="F5" s="108">
        <f>E10</f>
        <v>1</v>
      </c>
      <c r="G5" s="108">
        <f>G25</f>
        <v>52</v>
      </c>
      <c r="H5" s="108">
        <f>F10</f>
        <v>1</v>
      </c>
      <c r="I5" s="109">
        <f>I4</f>
        <v>1</v>
      </c>
      <c r="K5" s="37"/>
    </row>
    <row r="6" spans="2:16" x14ac:dyDescent="0.25">
      <c r="K6" s="37"/>
    </row>
    <row r="7" spans="2:16" x14ac:dyDescent="0.25">
      <c r="B7" s="168" t="s">
        <v>92</v>
      </c>
      <c r="C7" s="169"/>
      <c r="D7" s="169"/>
      <c r="E7" s="169"/>
      <c r="F7" s="170"/>
      <c r="K7" s="37"/>
    </row>
    <row r="8" spans="2:16" x14ac:dyDescent="0.25">
      <c r="B8" s="127"/>
      <c r="C8" s="136" t="s">
        <v>24</v>
      </c>
      <c r="D8" s="128" t="s">
        <v>4</v>
      </c>
      <c r="E8" s="128" t="s">
        <v>6</v>
      </c>
      <c r="F8" s="129" t="s">
        <v>8</v>
      </c>
      <c r="K8" s="37"/>
    </row>
    <row r="9" spans="2:16" x14ac:dyDescent="0.25">
      <c r="B9" s="138" t="s">
        <v>32</v>
      </c>
      <c r="C9" s="107">
        <f>'Calcul Visualisation'!C4</f>
        <v>11</v>
      </c>
      <c r="D9" s="108">
        <f>'Calcul Visualisation'!D4</f>
        <v>5</v>
      </c>
      <c r="E9" s="108">
        <f>'Calcul Visualisation'!F4</f>
        <v>5</v>
      </c>
      <c r="F9" s="109">
        <f>'Calcul Visualisation'!H4</f>
        <v>1</v>
      </c>
      <c r="G9" s="165"/>
      <c r="H9" s="166"/>
      <c r="I9" s="166"/>
      <c r="K9" s="37"/>
    </row>
    <row r="10" spans="2:16" x14ac:dyDescent="0.25">
      <c r="B10" s="127" t="s">
        <v>38</v>
      </c>
      <c r="C10" s="114">
        <f>ROUNDUP('Calcul Visualisation'!G5/5,0)</f>
        <v>11</v>
      </c>
      <c r="D10" s="115">
        <f>ROUNDUP(MAX('Calcul Visualisation'!C5,'Calcul Visualisation'!E5,'Calcul Visualisation'!G5)/18,0)</f>
        <v>3</v>
      </c>
      <c r="E10" s="115">
        <f>ROUNDUP(MAX('Calcul Visualisation'!C5,'Calcul Visualisation'!D5,'Calcul Visualisation'!E5,'Calcul Visualisation'!H5,'Calcul Visualisation'!I5)/15,0)</f>
        <v>1</v>
      </c>
      <c r="F10" s="116">
        <f>ROUNDUP('Calcul Visualisation'!E5/5,0)</f>
        <v>1</v>
      </c>
      <c r="G10" s="165"/>
      <c r="H10" s="166"/>
      <c r="I10" s="166"/>
      <c r="K10" s="37"/>
    </row>
    <row r="11" spans="2:16" x14ac:dyDescent="0.25">
      <c r="B11" s="137" t="s">
        <v>43</v>
      </c>
      <c r="C11" s="24" t="str">
        <f>IF(C9&gt;=C10,"OK","Faut embaucher " &amp; C10-C9)</f>
        <v>OK</v>
      </c>
      <c r="D11" s="25" t="str">
        <f>IF(D9&gt;=D10,"OK","Faut embaucher " &amp; D10-D9)</f>
        <v>OK</v>
      </c>
      <c r="E11" s="25" t="str">
        <f>IF(E9&gt;=E10,"OK","Faut embaucher " &amp; E10-E9)</f>
        <v>OK</v>
      </c>
      <c r="F11" s="19" t="str">
        <f>IF(F9&gt;=F10,"OK","Faut embaucher " &amp; F10-F9)</f>
        <v>OK</v>
      </c>
      <c r="K11" s="37"/>
    </row>
    <row r="12" spans="2:16" x14ac:dyDescent="0.25">
      <c r="K12" s="37"/>
    </row>
    <row r="13" spans="2:16" x14ac:dyDescent="0.25">
      <c r="B13" s="168" t="s">
        <v>82</v>
      </c>
      <c r="C13" s="171"/>
      <c r="D13" s="171"/>
      <c r="E13" s="171"/>
      <c r="F13" s="171"/>
      <c r="G13" s="171"/>
      <c r="H13" s="172"/>
      <c r="K13" s="37"/>
    </row>
    <row r="14" spans="2:16" x14ac:dyDescent="0.25">
      <c r="B14" s="127" t="s">
        <v>98</v>
      </c>
      <c r="C14" s="123" t="s">
        <v>10</v>
      </c>
      <c r="D14" s="133" t="s">
        <v>11</v>
      </c>
      <c r="E14" s="133" t="s">
        <v>12</v>
      </c>
      <c r="F14" s="134" t="s">
        <v>13</v>
      </c>
      <c r="G14" s="135" t="s">
        <v>14</v>
      </c>
      <c r="H14" s="135" t="s">
        <v>15</v>
      </c>
      <c r="I14" s="41"/>
      <c r="J14" s="41"/>
      <c r="K14" s="37"/>
    </row>
    <row r="15" spans="2:16" x14ac:dyDescent="0.25">
      <c r="B15" s="135" t="s">
        <v>97</v>
      </c>
      <c r="C15" s="111">
        <v>6</v>
      </c>
      <c r="D15" s="112">
        <v>4</v>
      </c>
      <c r="E15" s="112">
        <v>6</v>
      </c>
      <c r="F15" s="113">
        <v>6</v>
      </c>
      <c r="G15" s="110">
        <f>SUM(C15:F15)</f>
        <v>22</v>
      </c>
      <c r="H15" s="109">
        <f>35-G15</f>
        <v>13</v>
      </c>
      <c r="K15" s="37"/>
    </row>
    <row r="16" spans="2:16" x14ac:dyDescent="0.25">
      <c r="B16" s="127" t="s">
        <v>38</v>
      </c>
      <c r="C16" s="114">
        <f>MAX(0,ROUNDUP(((I43*100+I44*3+I45*2)+0.75*(I43*100)+0.75*(I44*3)+0.75*(I45*2))/60000,0)-C15)</f>
        <v>0</v>
      </c>
      <c r="D16" s="115">
        <f>MAX(0,ROUNDUP(SUM(G36*0.094+G37*0.156+G38*0.18)/75000,0)-D15)</f>
        <v>0</v>
      </c>
      <c r="E16" s="115">
        <f>MAX(0,ROUNDUP((G35*0.18+G36*0.094+G37*0.156+G38*0.18)/32750,0)-E15)</f>
        <v>0</v>
      </c>
      <c r="F16" s="116">
        <f>MAX(0,ROUNDUP((G34*0.512+G35*0.18+G36*0.094+G37*0.156+G38*0.18)/40000,0)-F15)</f>
        <v>0</v>
      </c>
      <c r="K16" s="37"/>
    </row>
    <row r="17" spans="2:11" x14ac:dyDescent="0.25">
      <c r="B17" s="136" t="s">
        <v>43</v>
      </c>
      <c r="C17" s="24" t="str">
        <f>IF(C15&gt;=C16,"OK","Faut en acheter "&amp;C16-C15)</f>
        <v>OK</v>
      </c>
      <c r="D17" s="25" t="str">
        <f t="shared" ref="D17:F17" si="0">IF(D15&gt;=D16,"OK","Faut en acheter "&amp;D16-D15)</f>
        <v>OK</v>
      </c>
      <c r="E17" s="25" t="str">
        <f t="shared" si="0"/>
        <v>OK</v>
      </c>
      <c r="F17" s="19" t="str">
        <f t="shared" si="0"/>
        <v>OK</v>
      </c>
    </row>
    <row r="18" spans="2:11" x14ac:dyDescent="0.25">
      <c r="K18" s="37"/>
    </row>
    <row r="19" spans="2:11" x14ac:dyDescent="0.25">
      <c r="B19" s="168" t="s">
        <v>93</v>
      </c>
      <c r="C19" s="171"/>
      <c r="D19" s="171"/>
      <c r="E19" s="171"/>
      <c r="F19" s="172"/>
      <c r="K19" s="37"/>
    </row>
    <row r="20" spans="2:11" ht="30" x14ac:dyDescent="0.25">
      <c r="B20" s="130" t="s">
        <v>84</v>
      </c>
      <c r="C20" s="131" t="s">
        <v>85</v>
      </c>
      <c r="D20" s="131" t="s">
        <v>86</v>
      </c>
      <c r="E20" s="131" t="s">
        <v>87</v>
      </c>
      <c r="F20" s="132" t="s">
        <v>88</v>
      </c>
      <c r="K20" s="37"/>
    </row>
    <row r="21" spans="2:11" x14ac:dyDescent="0.25">
      <c r="B21" s="20">
        <v>0</v>
      </c>
      <c r="C21" s="21">
        <v>0</v>
      </c>
      <c r="D21" s="21">
        <v>0</v>
      </c>
      <c r="E21" s="4">
        <v>328.37</v>
      </c>
      <c r="F21" s="5">
        <v>66808.67</v>
      </c>
    </row>
    <row r="22" spans="2:11" x14ac:dyDescent="0.25"/>
    <row r="23" spans="2:11" x14ac:dyDescent="0.25">
      <c r="B23" s="168" t="s">
        <v>99</v>
      </c>
      <c r="C23" s="171"/>
      <c r="D23" s="171"/>
      <c r="E23" s="171"/>
      <c r="F23" s="171"/>
      <c r="G23" s="171"/>
      <c r="H23" s="171"/>
      <c r="I23" s="172"/>
    </row>
    <row r="24" spans="2:11" x14ac:dyDescent="0.25">
      <c r="B24" s="127"/>
      <c r="C24" s="128" t="s">
        <v>10</v>
      </c>
      <c r="D24" s="128" t="s">
        <v>11</v>
      </c>
      <c r="E24" s="128" t="s">
        <v>12</v>
      </c>
      <c r="F24" s="129" t="s">
        <v>13</v>
      </c>
      <c r="G24" s="127" t="s">
        <v>14</v>
      </c>
      <c r="H24" s="127" t="s">
        <v>43</v>
      </c>
      <c r="I24" s="127" t="s">
        <v>50</v>
      </c>
    </row>
    <row r="25" spans="2:11" x14ac:dyDescent="0.25">
      <c r="B25" s="127" t="s">
        <v>38</v>
      </c>
      <c r="C25" s="107">
        <f>IF('Calcul Visualisation'!C15&gt;='Calcul Visualisation'!C16,'Calcul Visualisation'!C15*2,'Calcul Visualisation'!C16*2)</f>
        <v>12</v>
      </c>
      <c r="D25" s="107">
        <f>IF('Calcul Visualisation'!D15&gt;='Calcul Visualisation'!D16,'Calcul Visualisation'!D15*1,'Calcul Visualisation'!D16*1)</f>
        <v>4</v>
      </c>
      <c r="E25" s="107">
        <f>IF('Calcul Visualisation'!E15&gt;='Calcul Visualisation'!E16,'Calcul Visualisation'!E15*3,'Calcul Visualisation'!E16*3)</f>
        <v>18</v>
      </c>
      <c r="F25" s="107">
        <f>IF('Calcul Visualisation'!F15&gt;='Calcul Visualisation'!F16,'Calcul Visualisation'!F15*3,'Calcul Visualisation'!F16*3)</f>
        <v>18</v>
      </c>
      <c r="G25" s="110">
        <f>SUM(C25:F25)</f>
        <v>52</v>
      </c>
      <c r="H25" s="27" t="str">
        <f>IF(G4&gt;=G25,"Effectif Suffisant","Effectif Insuffisant")</f>
        <v>Effectif Suffisant</v>
      </c>
      <c r="I25" s="110">
        <f>G25-G4</f>
        <v>-3</v>
      </c>
    </row>
    <row r="26" spans="2:11" x14ac:dyDescent="0.25"/>
    <row r="27" spans="2:11" x14ac:dyDescent="0.25">
      <c r="B27" s="157" t="s">
        <v>21</v>
      </c>
      <c r="C27" s="159"/>
      <c r="E27" s="157" t="s">
        <v>22</v>
      </c>
      <c r="F27" s="159"/>
    </row>
    <row r="28" spans="2:11" x14ac:dyDescent="0.25">
      <c r="B28" s="124" t="s">
        <v>7</v>
      </c>
      <c r="C28" s="12">
        <v>1900</v>
      </c>
      <c r="E28" s="124" t="s">
        <v>29</v>
      </c>
      <c r="F28" s="22">
        <v>0.19</v>
      </c>
    </row>
    <row r="29" spans="2:11" x14ac:dyDescent="0.25">
      <c r="B29" s="124" t="s">
        <v>35</v>
      </c>
      <c r="C29" s="12">
        <v>1200</v>
      </c>
      <c r="E29" s="124" t="s">
        <v>36</v>
      </c>
      <c r="F29" s="22">
        <v>30000</v>
      </c>
    </row>
    <row r="30" spans="2:11" x14ac:dyDescent="0.25">
      <c r="B30" s="124" t="s">
        <v>41</v>
      </c>
      <c r="C30" s="13">
        <v>1.2E-2</v>
      </c>
    </row>
    <row r="31" spans="2:11" x14ac:dyDescent="0.25"/>
    <row r="32" spans="2:11" x14ac:dyDescent="0.25">
      <c r="B32" s="157" t="s">
        <v>91</v>
      </c>
      <c r="C32" s="158"/>
      <c r="D32" s="158"/>
      <c r="E32" s="158"/>
      <c r="F32" s="158"/>
      <c r="G32" s="158"/>
      <c r="H32" s="159"/>
    </row>
    <row r="33" spans="1:11" ht="30" x14ac:dyDescent="0.25">
      <c r="B33" s="93" t="s">
        <v>0</v>
      </c>
      <c r="C33" s="94" t="s">
        <v>63</v>
      </c>
      <c r="D33" s="93" t="s">
        <v>67</v>
      </c>
      <c r="E33" s="95" t="s">
        <v>68</v>
      </c>
      <c r="F33" s="96" t="s">
        <v>69</v>
      </c>
      <c r="G33" s="97" t="s">
        <v>70</v>
      </c>
      <c r="H33" s="98" t="s">
        <v>71</v>
      </c>
    </row>
    <row r="34" spans="1:11" x14ac:dyDescent="0.25">
      <c r="B34" s="99" t="s">
        <v>16</v>
      </c>
      <c r="C34" s="7">
        <v>1</v>
      </c>
      <c r="D34" s="101" t="s">
        <v>74</v>
      </c>
      <c r="E34" s="1">
        <v>1</v>
      </c>
      <c r="F34" s="14">
        <v>1</v>
      </c>
      <c r="G34" s="104">
        <v>1</v>
      </c>
      <c r="H34" s="30">
        <f>F34*E34</f>
        <v>1</v>
      </c>
    </row>
    <row r="35" spans="1:11" x14ac:dyDescent="0.25">
      <c r="B35" s="93" t="s">
        <v>19</v>
      </c>
      <c r="C35" s="8">
        <v>1</v>
      </c>
      <c r="D35" s="102" t="s">
        <v>74</v>
      </c>
      <c r="E35" s="10">
        <v>1</v>
      </c>
      <c r="F35" s="17">
        <v>1</v>
      </c>
      <c r="G35" s="105">
        <v>1</v>
      </c>
      <c r="H35" s="31">
        <f>F35*E35</f>
        <v>1</v>
      </c>
    </row>
    <row r="36" spans="1:11" x14ac:dyDescent="0.25">
      <c r="B36" s="93" t="s">
        <v>30</v>
      </c>
      <c r="C36" s="8">
        <v>1</v>
      </c>
      <c r="D36" s="102" t="s">
        <v>76</v>
      </c>
      <c r="E36" s="1">
        <v>1</v>
      </c>
      <c r="F36" s="17">
        <v>1</v>
      </c>
      <c r="G36" s="105">
        <v>1</v>
      </c>
      <c r="H36" s="31">
        <f>F36*E36</f>
        <v>1</v>
      </c>
    </row>
    <row r="37" spans="1:11" x14ac:dyDescent="0.25">
      <c r="B37" s="93" t="s">
        <v>42</v>
      </c>
      <c r="C37" s="8">
        <v>1</v>
      </c>
      <c r="D37" s="102" t="s">
        <v>76</v>
      </c>
      <c r="E37" s="1">
        <v>1</v>
      </c>
      <c r="F37" s="14">
        <v>1</v>
      </c>
      <c r="G37" s="105">
        <v>1</v>
      </c>
      <c r="H37" s="31">
        <f>F37*E37</f>
        <v>1</v>
      </c>
    </row>
    <row r="38" spans="1:11" x14ac:dyDescent="0.25">
      <c r="B38" s="100" t="s">
        <v>51</v>
      </c>
      <c r="C38" s="9">
        <v>1</v>
      </c>
      <c r="D38" s="103" t="s">
        <v>76</v>
      </c>
      <c r="E38" s="32">
        <v>1</v>
      </c>
      <c r="F38" s="15">
        <v>1</v>
      </c>
      <c r="G38" s="106">
        <v>1</v>
      </c>
      <c r="H38" s="33">
        <f>F38*E38</f>
        <v>1</v>
      </c>
    </row>
    <row r="39" spans="1:11" x14ac:dyDescent="0.25">
      <c r="H39" s="35">
        <f>SUM(H34:H38)</f>
        <v>5</v>
      </c>
    </row>
    <row r="40" spans="1:11" x14ac:dyDescent="0.25"/>
    <row r="41" spans="1:11" ht="30" x14ac:dyDescent="0.25">
      <c r="B41" s="58" t="s">
        <v>0</v>
      </c>
      <c r="C41" s="59" t="s">
        <v>1</v>
      </c>
      <c r="D41" s="65" t="s">
        <v>83</v>
      </c>
      <c r="E41" s="66" t="s">
        <v>2</v>
      </c>
      <c r="G41" s="148" t="s">
        <v>90</v>
      </c>
      <c r="H41" s="149"/>
      <c r="I41" s="149"/>
      <c r="J41" s="149"/>
      <c r="K41" s="150"/>
    </row>
    <row r="42" spans="1:11" x14ac:dyDescent="0.25">
      <c r="B42" s="151" t="s">
        <v>16</v>
      </c>
      <c r="C42" s="68" t="s">
        <v>17</v>
      </c>
      <c r="D42" s="69">
        <v>0.51200000000000001</v>
      </c>
      <c r="E42" s="72">
        <f>G34*D42</f>
        <v>0.51200000000000001</v>
      </c>
      <c r="G42" s="75" t="s">
        <v>25</v>
      </c>
      <c r="H42" s="76" t="s">
        <v>26</v>
      </c>
      <c r="I42" s="80" t="s">
        <v>27</v>
      </c>
      <c r="J42" s="81" t="s">
        <v>28</v>
      </c>
      <c r="K42" s="82" t="s">
        <v>14</v>
      </c>
    </row>
    <row r="43" spans="1:11" x14ac:dyDescent="0.25">
      <c r="B43" s="153"/>
      <c r="C43" s="68" t="s">
        <v>18</v>
      </c>
      <c r="D43" s="69">
        <v>6.4000000000000001E-2</v>
      </c>
      <c r="E43" s="73">
        <f>G34*D43</f>
        <v>6.4000000000000001E-2</v>
      </c>
      <c r="G43" s="38" t="s">
        <v>33</v>
      </c>
      <c r="H43" s="77" t="s">
        <v>34</v>
      </c>
      <c r="I43" s="83">
        <f>IF(MAX(ROUNDUP(E44/D58, 0), ROUNDUP((E46+E48+E52)/D59, 0))-B21 &lt;= 0,0,MAX(ROUNDUP(E44/D58, 0), ROUNDUP((E46+E48+E52)/D59, 0))-B21)</f>
        <v>1</v>
      </c>
      <c r="J43" s="85">
        <v>226.85</v>
      </c>
      <c r="K43" s="86">
        <f>I43*J43</f>
        <v>226.85</v>
      </c>
    </row>
    <row r="44" spans="1:11" x14ac:dyDescent="0.25">
      <c r="B44" s="151" t="s">
        <v>19</v>
      </c>
      <c r="C44" s="60" t="s">
        <v>20</v>
      </c>
      <c r="D44" s="70">
        <v>0.18</v>
      </c>
      <c r="E44" s="72">
        <f>G35*D44</f>
        <v>0.18</v>
      </c>
      <c r="G44" s="39" t="s">
        <v>39</v>
      </c>
      <c r="H44" s="78" t="s">
        <v>40</v>
      </c>
      <c r="I44" s="18">
        <f>IF(MAX(ROUNDUP(E42/D60, 0), ROUNDUP(E49/D61, 0))-C21 &lt;= 0,0,MAX(ROUNDUP(E42/D60, 0), ROUNDUP(E49/D61, 0))-C21)</f>
        <v>1</v>
      </c>
      <c r="J44" s="87">
        <v>6.38</v>
      </c>
      <c r="K44" s="88">
        <f>I44*J44</f>
        <v>6.38</v>
      </c>
    </row>
    <row r="45" spans="1:11" x14ac:dyDescent="0.25">
      <c r="B45" s="153"/>
      <c r="C45" s="63" t="s">
        <v>18</v>
      </c>
      <c r="D45" s="71">
        <v>7.2999999999999995E-2</v>
      </c>
      <c r="E45" s="74">
        <f>G35*D45</f>
        <v>7.2999999999999995E-2</v>
      </c>
      <c r="G45" s="39" t="s">
        <v>44</v>
      </c>
      <c r="H45" s="78" t="s">
        <v>45</v>
      </c>
      <c r="I45" s="18">
        <f>IF(MAX(ROUNDUP(E53/D62, 0), ROUNDUP((E54+E50)/D63, 0))-D21 &lt;= 0,0,MAX(ROUNDUP(E53/D62, 0), ROUNDUP((E54+E50)/D63, 0))-D21)</f>
        <v>1</v>
      </c>
      <c r="J45" s="87">
        <v>14.26</v>
      </c>
      <c r="K45" s="88">
        <f>I45*J45</f>
        <v>14.26</v>
      </c>
    </row>
    <row r="46" spans="1:11" x14ac:dyDescent="0.25">
      <c r="B46" s="151" t="s">
        <v>30</v>
      </c>
      <c r="C46" s="60" t="s">
        <v>31</v>
      </c>
      <c r="D46" s="70">
        <v>9.4E-2</v>
      </c>
      <c r="E46" s="73">
        <f>G36*D46</f>
        <v>9.4E-2</v>
      </c>
      <c r="G46" s="39" t="s">
        <v>18</v>
      </c>
      <c r="H46" s="78" t="s">
        <v>47</v>
      </c>
      <c r="I46" s="18">
        <f>IF(MAX(ROUNDUP((E43+E45+E55)/D64, 0))-E21 &lt;= 0,0,MAX(ROUNDUP((E43+E45+E55)/D64, 0))-E21)</f>
        <v>0</v>
      </c>
      <c r="J46" s="87">
        <v>306.02</v>
      </c>
      <c r="K46" s="88">
        <f>I46*J46</f>
        <v>0</v>
      </c>
    </row>
    <row r="47" spans="1:11" x14ac:dyDescent="0.25">
      <c r="A47" s="11"/>
      <c r="B47" s="153"/>
      <c r="C47" s="63" t="s">
        <v>37</v>
      </c>
      <c r="D47" s="71">
        <v>0.03</v>
      </c>
      <c r="E47" s="73">
        <f>G36*D47</f>
        <v>0.03</v>
      </c>
      <c r="G47" s="40" t="s">
        <v>37</v>
      </c>
      <c r="H47" s="79" t="s">
        <v>49</v>
      </c>
      <c r="I47" s="84">
        <f>IF(MAX(ROUNDUP((E47+E51)/D65, 0))-F21 &lt;= 0,0,MAX(ROUNDUP((E47+E51)/D65, 0))-F21)</f>
        <v>0</v>
      </c>
      <c r="J47" s="89">
        <v>146.16</v>
      </c>
      <c r="K47" s="90">
        <f>I47*J47</f>
        <v>0</v>
      </c>
    </row>
    <row r="48" spans="1:11" x14ac:dyDescent="0.25">
      <c r="B48" s="151" t="s">
        <v>42</v>
      </c>
      <c r="C48" s="60" t="s">
        <v>31</v>
      </c>
      <c r="D48" s="70">
        <v>0.10100000000000001</v>
      </c>
      <c r="E48" s="72">
        <f>G37*D48</f>
        <v>0.10100000000000001</v>
      </c>
      <c r="G48" s="2"/>
      <c r="H48" s="2"/>
      <c r="I48" s="2"/>
      <c r="J48" s="91"/>
      <c r="K48" s="92">
        <f>SUM(K43:K47)</f>
        <v>247.48999999999998</v>
      </c>
    </row>
    <row r="49" spans="2:6" x14ac:dyDescent="0.25">
      <c r="B49" s="152"/>
      <c r="C49" s="68" t="s">
        <v>46</v>
      </c>
      <c r="D49" s="69">
        <v>0.03</v>
      </c>
      <c r="E49" s="73">
        <f>G37*D49</f>
        <v>0.03</v>
      </c>
    </row>
    <row r="50" spans="2:6" x14ac:dyDescent="0.25">
      <c r="B50" s="152"/>
      <c r="C50" s="68" t="s">
        <v>48</v>
      </c>
      <c r="D50" s="69">
        <v>0.02</v>
      </c>
      <c r="E50" s="73">
        <f>G37*D50</f>
        <v>0.02</v>
      </c>
    </row>
    <row r="51" spans="2:6" x14ac:dyDescent="0.25">
      <c r="B51" s="153"/>
      <c r="C51" s="63" t="s">
        <v>37</v>
      </c>
      <c r="D51" s="71">
        <v>0.08</v>
      </c>
      <c r="E51" s="74">
        <f>G37*D51</f>
        <v>0.08</v>
      </c>
    </row>
    <row r="52" spans="2:6" x14ac:dyDescent="0.25">
      <c r="B52" s="151" t="s">
        <v>51</v>
      </c>
      <c r="C52" s="60" t="s">
        <v>31</v>
      </c>
      <c r="D52" s="70">
        <v>0.08</v>
      </c>
      <c r="E52" s="73">
        <f>G38*D52</f>
        <v>0.08</v>
      </c>
    </row>
    <row r="53" spans="2:6" x14ac:dyDescent="0.25">
      <c r="B53" s="152"/>
      <c r="C53" s="68" t="s">
        <v>52</v>
      </c>
      <c r="D53" s="69">
        <v>4.4999999999999998E-2</v>
      </c>
      <c r="E53" s="73">
        <f>G38*D53</f>
        <v>4.4999999999999998E-2</v>
      </c>
    </row>
    <row r="54" spans="2:6" x14ac:dyDescent="0.25">
      <c r="B54" s="152"/>
      <c r="C54" s="68" t="s">
        <v>48</v>
      </c>
      <c r="D54" s="69">
        <v>0.04</v>
      </c>
      <c r="E54" s="73">
        <f>G38*D54</f>
        <v>0.04</v>
      </c>
    </row>
    <row r="55" spans="2:6" x14ac:dyDescent="0.25">
      <c r="B55" s="153"/>
      <c r="C55" s="63" t="s">
        <v>18</v>
      </c>
      <c r="D55" s="71">
        <v>5.6000000000000001E-2</v>
      </c>
      <c r="E55" s="74">
        <f>G38*D55</f>
        <v>5.6000000000000001E-2</v>
      </c>
    </row>
    <row r="56" spans="2:6" x14ac:dyDescent="0.25"/>
    <row r="57" spans="2:6" ht="45" x14ac:dyDescent="0.25">
      <c r="B57" s="58" t="s">
        <v>59</v>
      </c>
      <c r="C57" s="59" t="s">
        <v>1</v>
      </c>
      <c r="D57" s="65" t="s">
        <v>60</v>
      </c>
      <c r="E57" s="66" t="s">
        <v>95</v>
      </c>
      <c r="F57" s="67" t="s">
        <v>96</v>
      </c>
    </row>
    <row r="58" spans="2:6" x14ac:dyDescent="0.25">
      <c r="B58" s="151" t="s">
        <v>64</v>
      </c>
      <c r="C58" s="60" t="s">
        <v>20</v>
      </c>
      <c r="D58" s="28">
        <v>15</v>
      </c>
      <c r="E58" s="55">
        <f>I43 * D58 - (E44)</f>
        <v>14.82</v>
      </c>
      <c r="F58" s="160">
        <f>IF(E59&gt;E58,INT(E59/D59),INT(E58/D58))</f>
        <v>0</v>
      </c>
    </row>
    <row r="59" spans="2:6" x14ac:dyDescent="0.25">
      <c r="B59" s="153"/>
      <c r="C59" s="61" t="s">
        <v>31</v>
      </c>
      <c r="D59" s="43">
        <v>62</v>
      </c>
      <c r="E59" s="56">
        <f>I43 * D59 - (E46 + E48 + E52)</f>
        <v>61.725000000000001</v>
      </c>
      <c r="F59" s="161"/>
    </row>
    <row r="60" spans="2:6" x14ac:dyDescent="0.25">
      <c r="B60" s="151" t="s">
        <v>75</v>
      </c>
      <c r="C60" s="60" t="s">
        <v>17</v>
      </c>
      <c r="D60" s="28">
        <v>0.64</v>
      </c>
      <c r="E60" s="57">
        <f>I44 * D60 - (E42)</f>
        <v>0.128</v>
      </c>
      <c r="F60" s="160">
        <f>IF(E61&gt;E60,INT(E61/D61),INT(E60/D60))</f>
        <v>0</v>
      </c>
    </row>
    <row r="61" spans="2:6" x14ac:dyDescent="0.25">
      <c r="B61" s="153"/>
      <c r="C61" s="61" t="s">
        <v>46</v>
      </c>
      <c r="D61" s="43">
        <v>0.62</v>
      </c>
      <c r="E61" s="57">
        <f>I44 * D61 - (E49)</f>
        <v>0.59</v>
      </c>
      <c r="F61" s="161"/>
    </row>
    <row r="62" spans="2:6" x14ac:dyDescent="0.25">
      <c r="B62" s="151" t="s">
        <v>77</v>
      </c>
      <c r="C62" s="62" t="s">
        <v>52</v>
      </c>
      <c r="D62" s="44">
        <v>0.42</v>
      </c>
      <c r="E62" s="55">
        <f>I45 * D62 - (E53)</f>
        <v>0.375</v>
      </c>
      <c r="F62" s="160">
        <f>IF(E63&gt;E62,INT(E63/D63),INT(E62/D62))</f>
        <v>0</v>
      </c>
    </row>
    <row r="63" spans="2:6" x14ac:dyDescent="0.25">
      <c r="B63" s="153"/>
      <c r="C63" s="63" t="s">
        <v>48</v>
      </c>
      <c r="D63" s="29">
        <v>1.62</v>
      </c>
      <c r="E63" s="56">
        <f>I45 * D63 - (E50+E54)</f>
        <v>1.56</v>
      </c>
      <c r="F63" s="161"/>
    </row>
    <row r="64" spans="2:6" ht="30" x14ac:dyDescent="0.25">
      <c r="B64" s="122" t="s">
        <v>78</v>
      </c>
      <c r="C64" s="64" t="s">
        <v>18</v>
      </c>
      <c r="D64" s="34">
        <v>50</v>
      </c>
    </row>
    <row r="65" spans="2:10" x14ac:dyDescent="0.25">
      <c r="B65" s="123" t="s">
        <v>80</v>
      </c>
      <c r="C65" s="63" t="s">
        <v>37</v>
      </c>
      <c r="D65" s="36">
        <v>60</v>
      </c>
    </row>
    <row r="66" spans="2:10" x14ac:dyDescent="0.25"/>
    <row r="67" spans="2:10" x14ac:dyDescent="0.25">
      <c r="B67" s="157" t="s">
        <v>53</v>
      </c>
      <c r="C67" s="158"/>
      <c r="D67" s="158"/>
      <c r="E67" s="158"/>
      <c r="F67" s="158"/>
      <c r="G67" s="159"/>
      <c r="I67" s="66" t="s">
        <v>23</v>
      </c>
      <c r="J67" s="120" t="s">
        <v>89</v>
      </c>
    </row>
    <row r="68" spans="2:10" x14ac:dyDescent="0.25">
      <c r="B68" s="124" t="s">
        <v>0</v>
      </c>
      <c r="C68" s="162" t="s">
        <v>54</v>
      </c>
      <c r="D68" s="163"/>
      <c r="E68" s="164"/>
      <c r="F68" s="125" t="s">
        <v>55</v>
      </c>
      <c r="G68" s="124" t="s">
        <v>28</v>
      </c>
      <c r="I68" s="23">
        <f>SUM(H34:H38)</f>
        <v>5</v>
      </c>
      <c r="J68" s="26">
        <f>(C4*2100+D4*3600+(E4*C29+I68*(C30/100)+F4*1800+G4*C28+H4*1700+I4*18000))+(C15*4000+D15*3000+E15*8000+F15*7500)+(G77)+(K48)+(F29)</f>
        <v>339547.49060000002</v>
      </c>
    </row>
    <row r="69" spans="2:10" x14ac:dyDescent="0.25">
      <c r="B69" s="49"/>
      <c r="C69" s="49"/>
      <c r="D69" s="50"/>
      <c r="E69" s="49"/>
      <c r="F69" s="8"/>
      <c r="G69" s="45"/>
    </row>
    <row r="70" spans="2:10" x14ac:dyDescent="0.25">
      <c r="B70" s="49"/>
      <c r="C70" s="49"/>
      <c r="D70" s="50"/>
      <c r="E70" s="49"/>
      <c r="F70" s="8"/>
      <c r="G70" s="45"/>
    </row>
    <row r="71" spans="2:10" x14ac:dyDescent="0.25">
      <c r="B71" s="49"/>
      <c r="C71" s="49"/>
      <c r="D71" s="50"/>
      <c r="E71" s="49"/>
      <c r="F71" s="8"/>
      <c r="G71" s="45"/>
    </row>
    <row r="72" spans="2:10" x14ac:dyDescent="0.25">
      <c r="B72" s="49"/>
      <c r="C72" s="49"/>
      <c r="D72" s="50"/>
      <c r="E72" s="49"/>
      <c r="F72" s="8"/>
      <c r="G72" s="45"/>
    </row>
    <row r="73" spans="2:10" x14ac:dyDescent="0.25">
      <c r="B73" s="51"/>
      <c r="C73" s="51"/>
      <c r="D73" s="52"/>
      <c r="E73" s="51"/>
      <c r="F73" s="48"/>
      <c r="G73" s="46"/>
    </row>
    <row r="74" spans="2:10" x14ac:dyDescent="0.25">
      <c r="B74" s="51"/>
      <c r="C74" s="51"/>
      <c r="D74" s="52"/>
      <c r="E74" s="51"/>
      <c r="F74" s="48"/>
      <c r="G74" s="46"/>
    </row>
    <row r="75" spans="2:10" x14ac:dyDescent="0.25">
      <c r="B75" s="51"/>
      <c r="C75" s="51"/>
      <c r="D75" s="52"/>
      <c r="E75" s="51"/>
      <c r="F75" s="48"/>
      <c r="G75" s="46"/>
    </row>
    <row r="76" spans="2:10" x14ac:dyDescent="0.25">
      <c r="B76" s="53"/>
      <c r="C76" s="53"/>
      <c r="D76" s="54"/>
      <c r="E76" s="53"/>
      <c r="F76" s="48"/>
      <c r="G76" s="47"/>
    </row>
    <row r="77" spans="2:10" x14ac:dyDescent="0.25">
      <c r="B77" s="6"/>
      <c r="C77" s="6"/>
      <c r="D77" s="154" t="s">
        <v>79</v>
      </c>
      <c r="E77" s="155"/>
      <c r="F77" s="156"/>
      <c r="G77" s="16">
        <f>(F69*G69)+(F70*G70)+(F71*G71)+(F72*G72)+(F73*G73)+(F74*G74)+(F75*G75)+(F76*G76)</f>
        <v>0</v>
      </c>
    </row>
    <row r="78" spans="2:10" x14ac:dyDescent="0.25"/>
    <row r="79" spans="2:10" x14ac:dyDescent="0.25"/>
    <row r="80" spans="2:10" x14ac:dyDescent="0.25"/>
    <row r="81" spans="2:9" x14ac:dyDescent="0.25"/>
    <row r="82" spans="2:9" x14ac:dyDescent="0.25"/>
    <row r="83" spans="2:9" x14ac:dyDescent="0.25">
      <c r="B83" s="182" t="s">
        <v>104</v>
      </c>
      <c r="C83" s="182"/>
      <c r="D83" s="182"/>
      <c r="E83" s="182"/>
      <c r="F83" s="182"/>
      <c r="G83" s="182"/>
      <c r="H83" s="182"/>
    </row>
    <row r="84" spans="2:9" x14ac:dyDescent="0.25">
      <c r="B84" s="182" t="s">
        <v>103</v>
      </c>
      <c r="C84" s="182"/>
      <c r="D84" s="182"/>
      <c r="E84" s="182"/>
      <c r="F84" s="182"/>
      <c r="G84" s="182"/>
      <c r="H84" s="182"/>
      <c r="I84" s="183"/>
    </row>
    <row r="85" spans="2:9" x14ac:dyDescent="0.25"/>
    <row r="86" spans="2:9" x14ac:dyDescent="0.25"/>
    <row r="87" spans="2:9" x14ac:dyDescent="0.25"/>
    <row r="88" spans="2:9" x14ac:dyDescent="0.25"/>
    <row r="89" spans="2:9" x14ac:dyDescent="0.25"/>
    <row r="90" spans="2:9" x14ac:dyDescent="0.25"/>
    <row r="91" spans="2:9" x14ac:dyDescent="0.25"/>
    <row r="92" spans="2:9" x14ac:dyDescent="0.25"/>
    <row r="93" spans="2:9" x14ac:dyDescent="0.25"/>
    <row r="94" spans="2:9" x14ac:dyDescent="0.25"/>
    <row r="95" spans="2:9" x14ac:dyDescent="0.25"/>
    <row r="96" spans="2:9" x14ac:dyDescent="0.25"/>
    <row r="97" x14ac:dyDescent="0.25"/>
    <row r="98" x14ac:dyDescent="0.25"/>
    <row r="99" x14ac:dyDescent="0.25"/>
    <row r="100" s="142" customFormat="1" x14ac:dyDescent="0.25"/>
  </sheetData>
  <mergeCells count="27">
    <mergeCell ref="D77:F77"/>
    <mergeCell ref="B83:H83"/>
    <mergeCell ref="B84:H84"/>
    <mergeCell ref="B60:B61"/>
    <mergeCell ref="F60:F61"/>
    <mergeCell ref="B62:B63"/>
    <mergeCell ref="F62:F63"/>
    <mergeCell ref="B67:G67"/>
    <mergeCell ref="C68:E68"/>
    <mergeCell ref="B44:B45"/>
    <mergeCell ref="B46:B47"/>
    <mergeCell ref="B48:B51"/>
    <mergeCell ref="B52:B55"/>
    <mergeCell ref="B58:B59"/>
    <mergeCell ref="F58:F59"/>
    <mergeCell ref="B23:I23"/>
    <mergeCell ref="B27:C27"/>
    <mergeCell ref="E27:F27"/>
    <mergeCell ref="B32:H32"/>
    <mergeCell ref="G41:K41"/>
    <mergeCell ref="B42:B43"/>
    <mergeCell ref="B1:I1"/>
    <mergeCell ref="B2:I2"/>
    <mergeCell ref="B7:F7"/>
    <mergeCell ref="G9:I10"/>
    <mergeCell ref="B13:H13"/>
    <mergeCell ref="B19:F19"/>
  </mergeCells>
  <conditionalFormatting sqref="C11:F11">
    <cfRule type="cellIs" dxfId="9" priority="9" operator="notEqual">
      <formula>"OK"</formula>
    </cfRule>
    <cfRule type="cellIs" dxfId="8" priority="10" operator="equal">
      <formula>"OK"</formula>
    </cfRule>
  </conditionalFormatting>
  <conditionalFormatting sqref="C17:F17">
    <cfRule type="cellIs" dxfId="7" priority="3" operator="notEqual">
      <formula>"OK"</formula>
    </cfRule>
    <cfRule type="cellIs" dxfId="6" priority="4" operator="equal">
      <formula>"OK"</formula>
    </cfRule>
  </conditionalFormatting>
  <conditionalFormatting sqref="H15">
    <cfRule type="cellIs" dxfId="5" priority="5" operator="lessThan">
      <formula>0</formula>
    </cfRule>
    <cfRule type="cellIs" dxfId="4" priority="6" operator="equal">
      <formula>0</formula>
    </cfRule>
  </conditionalFormatting>
  <conditionalFormatting sqref="H25">
    <cfRule type="cellIs" dxfId="3" priority="7" operator="equal">
      <formula>"Effectif Insuffisant"</formula>
    </cfRule>
    <cfRule type="cellIs" dxfId="2" priority="8" operator="equal">
      <formula>"Effectif Suffisant"</formula>
    </cfRule>
  </conditionalFormatting>
  <conditionalFormatting sqref="E58:F63">
    <cfRule type="cellIs" dxfId="1" priority="2" operator="greaterThan">
      <formula>0</formula>
    </cfRule>
  </conditionalFormatting>
  <conditionalFormatting sqref="E42:E55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SupprimerVue">
                <anchor moveWithCells="1" sizeWithCells="1">
                  <from>
                    <xdr:col>1</xdr:col>
                    <xdr:colOff>238125</xdr:colOff>
                    <xdr:row>84</xdr:row>
                    <xdr:rowOff>19050</xdr:rowOff>
                  </from>
                  <to>
                    <xdr:col>7</xdr:col>
                    <xdr:colOff>704850</xdr:colOff>
                    <xdr:row>94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d2062a6-8d47-4b31-a3f2-5fafa11579a9">
      <Terms xmlns="http://schemas.microsoft.com/office/infopath/2007/PartnerControls"/>
    </lcf76f155ced4ddcb4097134ff3c332f>
    <TaxCatchAll xmlns="d08b992a-65b9-4020-b165-9465e2f9b3a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C16BCA1BF36CD44B1AC177F5D574508" ma:contentTypeVersion="11" ma:contentTypeDescription="Create a new document." ma:contentTypeScope="" ma:versionID="95d644a97f1f546ef8cbc2866b7b4168">
  <xsd:schema xmlns:xsd="http://www.w3.org/2001/XMLSchema" xmlns:xs="http://www.w3.org/2001/XMLSchema" xmlns:p="http://schemas.microsoft.com/office/2006/metadata/properties" xmlns:ns2="8d2062a6-8d47-4b31-a3f2-5fafa11579a9" xmlns:ns3="d08b992a-65b9-4020-b165-9465e2f9b3a1" targetNamespace="http://schemas.microsoft.com/office/2006/metadata/properties" ma:root="true" ma:fieldsID="05d6820ef5e9ca0e8393e3e8172628db" ns2:_="" ns3:_="">
    <xsd:import namespace="8d2062a6-8d47-4b31-a3f2-5fafa11579a9"/>
    <xsd:import namespace="d08b992a-65b9-4020-b165-9465e2f9b3a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2062a6-8d47-4b31-a3f2-5fafa11579a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588c3168-a240-49a5-981b-89ab6abaef8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8b992a-65b9-4020-b165-9465e2f9b3a1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0e84664d-7e7a-4331-8c00-4454f57149f0}" ma:internalName="TaxCatchAll" ma:showField="CatchAllData" ma:web="d08b992a-65b9-4020-b165-9465e2f9b3a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25FF394-8299-4A7A-B411-7F7850740C40}">
  <ds:schemaRefs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d08b992a-65b9-4020-b165-9465e2f9b3a1"/>
    <ds:schemaRef ds:uri="8d2062a6-8d47-4b31-a3f2-5fafa11579a9"/>
    <ds:schemaRef ds:uri="http://www.w3.org/XML/1998/namespace"/>
    <ds:schemaRef ds:uri="http://purl.org/dc/terms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A9811749-7AC9-407C-99F3-6A061579FF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2062a6-8d47-4b31-a3f2-5fafa11579a9"/>
    <ds:schemaRef ds:uri="d08b992a-65b9-4020-b165-9465e2f9b3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19BACC4-06BE-4C15-8762-A26ACC1EC90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Information - Actuel</vt:lpstr>
      <vt:lpstr>Calcul Prochain Mois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Enzo PAGES</dc:creator>
  <cp:keywords/>
  <dc:description/>
  <cp:lastModifiedBy>Enzo Pages</cp:lastModifiedBy>
  <cp:revision/>
  <dcterms:created xsi:type="dcterms:W3CDTF">2015-06-05T18:19:34Z</dcterms:created>
  <dcterms:modified xsi:type="dcterms:W3CDTF">2025-05-11T19:50:43Z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0x010100DC16BCA1BF36CD44B1AC177F5D574508</vt:lpwstr>
  </property>
  <property fmtid="{D5CDD505-2E9C-101B-9397-08002B2CF9AE}" pid="3" name="MediaServiceImageTags">
    <vt:lpwstr/>
  </property>
</Properties>
</file>